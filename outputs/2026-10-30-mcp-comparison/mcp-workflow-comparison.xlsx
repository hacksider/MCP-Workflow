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02dfc86b14e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ison" sheetId="1" r:id="R18bf33b258e04e43"/>
    <x:sheet xmlns:r="http://schemas.openxmlformats.org/officeDocument/2006/relationships" name="Benchmark" sheetId="2" r:id="Rf8bbaeab469a49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.0%"/>
    <x:numFmt numFmtId="202" formatCode="0.00&quot;x&quot;"/>
    <x:numFmt numFmtId="203" formatCode="0"/>
    <x:numFmt numFmtId="204" formatCode="0.00"/>
    <x:numFmt numFmtId="205" formatCode="#,##0"/>
    <x:numFmt numFmtId="206" formatCode="#,##0.0"/>
  </x:numFmts>
  <x:fonts count="7">
    <x:font>
      <x:sz val="11"/>
      <x:name val="Carlito"/>
    </x:font>
    <x:font>
      <x:sz val="11"/>
      <x:color rgb="FF24352F"/>
      <x:name val="Arial"/>
    </x:font>
    <x:font>
      <x:b/>
      <x:sz val="17"/>
      <x:color rgb="FF24352F"/>
      <x:name val="Arial"/>
    </x:font>
    <x:font>
      <x:i/>
      <x:sz val="11"/>
      <x:color rgb="FF596B63"/>
      <x:name val="Arial"/>
    </x:font>
    <x:font>
      <x:b/>
      <x:sz val="11"/>
      <x:color rgb="FFFFFFFF"/>
      <x:name val="Arial"/>
    </x:font>
    <x:font>
      <x:b/>
      <x:sz val="14"/>
      <x:color rgb="FF24352F"/>
      <x:name val="Arial"/>
    </x:font>
    <x:font>
      <x:b/>
      <x:sz val="11"/>
      <x:color rgb="FF24352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245942"/>
      </x:patternFill>
    </x:fill>
    <x:fill>
      <x:patternFill patternType="solid">
        <x:fgColor rgb="FFF0F5F1"/>
      </x:patternFill>
    </x:fill>
    <x:fill>
      <x:patternFill patternType="solid">
        <x:fgColor rgb="FFFFF2CC"/>
      </x:patternFill>
    </x:fill>
    <x:fill>
      <x:patternFill patternType="solid">
        <x:fgColor rgb="FFF5F3EA"/>
      </x:patternFill>
    </x:fill>
    <x:fill>
      <x:patternFill patternType="solid">
        <x:fgColor rgb="FFF5F3EA"/>
      </x:patternFill>
    </x:fill>
    <x:fill>
      <x:patternFill patternType="solid">
        <x:fgColor rgb="FF245942"/>
      </x:patternFill>
    </x:fill>
    <x:fill>
      <x:patternFill patternType="solid">
        <x:fgColor rgb="FFF5F3E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 applyAlignment="1">
      <x:alignment horizontal="center" wrapText="1"/>
    </x:xf>
    <x:xf numFmtId="20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205" fontId="1" fillId="8" borderId="0" xfId="0" applyNumberFormat="1" applyFont="1" applyFill="1" applyBorder="1" applyAlignment="1">
      <x:alignment vertical="center"/>
    </x:xf>
    <x:xf numFmtId="205" fontId="0" fillId="8" borderId="0" xfId="0" applyNumberFormat="1" applyFont="1" applyFill="1" applyBorder="1"/>
    <x:xf numFmtId="206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27aafdd4a549c9" /><Relationship Type="http://schemas.openxmlformats.org/officeDocument/2006/relationships/theme" Target="/xl/theme/theme1.xml" Id="R74ea11e7955b4276" /><Relationship Type="http://schemas.openxmlformats.org/officeDocument/2006/relationships/sharedStrings" Target="/xl/sharedStrings.xml" Id="R69ff88fffb754c00" /><Relationship Type="http://schemas.openxmlformats.org/officeDocument/2006/relationships/worksheet" Target="/xl/worksheets/sheet1.xml" Id="R18bf33b258e04e43" /><Relationship Type="http://schemas.openxmlformats.org/officeDocument/2006/relationships/worksheet" Target="/xl/worksheets/sheet2.xml" Id="Rf8bbaeab469a49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71cd55082b4d50" /><Relationship Type="http://schemas.openxmlformats.org/officeDocument/2006/relationships/chart" Target="/xl/drawings/charts/chart2.xml" Id="R469e483566d344be" /><Relationship Type="http://schemas.openxmlformats.org/officeDocument/2006/relationships/chart" Target="/xl/drawings/charts/chart3.xml" Id="R04c43edd2c924cde" /><Relationship Type="http://schemas.openxmlformats.org/officeDocument/2006/relationships/chart" Target="/xl/drawings/charts/chart4.xml" Id="R73cf55e225194e7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Demo row counts (not an accuracy benchmark)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Expected unique rows</c:v>
          </c:tx>
          <c:spPr>
            <a:solidFill xmlns:a="http://schemas.openxmlformats.org/drawingml/2006/main">
              <a:srgbClr val="A3B6AC"/>
            </a:solidFill>
          </c:spPr>
          <c:invertIfNegative val="0"/>
          <c:cat>
            <c:strRef>
              <c:f>'Comparison'!$B$31:$B$32</c:f>
              <c:strCache>
                <c:ptCount val="0"/>
              </c:strCache>
            </c:strRef>
          </c:cat>
          <c:val>
            <c:numRef>
              <c:f>'Comparison'!$C$31:$C$32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Observed unique rows</c:v>
          </c:tx>
          <c:spPr>
            <a:solidFill xmlns:a="http://schemas.openxmlformats.org/drawingml/2006/main">
              <a:srgbClr val="245942"/>
            </a:solidFill>
          </c:spPr>
          <c:invertIfNegative val="0"/>
          <c:cat>
            <c:strRef>
              <c:f>'Comparison'!$B$31:$B$32</c:f>
              <c:strCache>
                <c:ptCount val="0"/>
              </c:strCache>
            </c:strRef>
          </c:cat>
          <c:val>
            <c:numRef>
              <c:f>'Comparison'!$D$31:$D$32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Mean scraper time (seconds), 10 runs each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Prompt agent</c:v>
          </c:tx>
          <c:spPr>
            <a:solidFill xmlns:a="http://schemas.openxmlformats.org/drawingml/2006/main">
              <a:srgbClr val="83968B"/>
            </a:solidFill>
          </c:spPr>
          <c:invertIfNegative val="0"/>
          <c:cat>
            <c:strRef>
              <c:f>'Comparison'!$G$3</c:f>
              <c:strCache>
                <c:ptCount val="0"/>
              </c:strCache>
            </c:strRef>
          </c:cat>
          <c:val>
            <c:numRef>
              <c:f>'Comparison'!$H$3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Saved workflow</c:v>
          </c:tx>
          <c:spPr>
            <a:solidFill xmlns:a="http://schemas.openxmlformats.org/drawingml/2006/main">
              <a:srgbClr val="245942"/>
            </a:solidFill>
          </c:spPr>
          <c:invertIfNegative val="0"/>
          <c:cat>
            <c:strRef>
              <c:f>'Comparison'!$G$3</c:f>
              <c:strCache>
                <c:ptCount val="0"/>
              </c:strCache>
            </c:strRef>
          </c:cat>
          <c:val>
            <c:numRef>
              <c:f>'Comparison'!$I$3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Observed field accuracy, 200 fields each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Prompt agent</c:v>
          </c:tx>
          <c:spPr>
            <a:solidFill xmlns:a="http://schemas.openxmlformats.org/drawingml/2006/main">
              <a:srgbClr val="83968B"/>
            </a:solidFill>
          </c:spPr>
          <c:invertIfNegative val="0"/>
          <c:cat>
            <c:strRef>
              <c:f>'Comparison'!$G$6</c:f>
              <c:strCache>
                <c:ptCount val="0"/>
              </c:strCache>
            </c:strRef>
          </c:cat>
          <c:val>
            <c:numRef>
              <c:f>'Comparison'!$H$6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Saved workflow</c:v>
          </c:tx>
          <c:spPr>
            <a:solidFill xmlns:a="http://schemas.openxmlformats.org/drawingml/2006/main">
              <a:srgbClr val="245942"/>
            </a:solidFill>
          </c:spPr>
          <c:invertIfNegative val="0"/>
          <c:cat>
            <c:strRef>
              <c:f>'Comparison'!$G$6</c:f>
              <c:strCache>
                <c:ptCount val="0"/>
              </c:strCache>
            </c:strRef>
          </c:cat>
          <c:val>
            <c:numRef>
              <c:f>'Comparison'!$I$6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Mean model tokens per run (includes cached input)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Prompt agent</c:v>
          </c:tx>
          <c:spPr>
            <a:solidFill xmlns:a="http://schemas.openxmlformats.org/drawingml/2006/main">
              <a:srgbClr val="83968B"/>
            </a:solidFill>
          </c:spPr>
          <c:invertIfNegative val="0"/>
          <c:cat>
            <c:strRef>
              <c:f>'Comparison'!$G$40</c:f>
              <c:strCache>
                <c:ptCount val="0"/>
              </c:strCache>
            </c:strRef>
          </c:cat>
          <c:val>
            <c:numRef>
              <c:f>'Comparison'!$H$40</c:f>
              <c:numCache>
                <c:formatCode>#,##0.0</c:formatCode>
                <c:ptCount val="0"/>
              </c:numCache>
            </c:numRef>
          </c:val>
        </c:ser>
        <c:ser>
          <c:idx val="1"/>
          <c:order val="1"/>
          <c:tx>
            <c:v>Saved workflow</c:v>
          </c:tx>
          <c:spPr>
            <a:solidFill xmlns:a="http://schemas.openxmlformats.org/drawingml/2006/main">
              <a:srgbClr val="245942"/>
            </a:solidFill>
          </c:spPr>
          <c:invertIfNegative val="0"/>
          <c:cat>
            <c:strRef>
              <c:f>'Comparison'!$G$40</c:f>
              <c:strCache>
                <c:ptCount val="0"/>
              </c:strCache>
            </c:strRef>
          </c:cat>
          <c:val>
            <c:numRef>
              <c:f>'Comparison'!$I$40</c:f>
              <c:numCache>
                <c:formatCode>#,##0.0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33</xdr:row>
      <xdr:rowOff>0</xdr:rowOff>
    </xdr:from>
    <xdr:to>
      <xdr:col>6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71cd55082b4d50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15</xdr:col>
      <xdr:colOff>0</xdr:colOff>
      <xdr:row>14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9e483566d344be"/>
        </a:graphicData>
      </a:graphic>
    </xdr:graphicFrame>
    <xdr:clientData/>
  </xdr:twoCellAnchor>
  <xdr:twoCellAnchor>
    <xdr:from>
      <xdr:col>6</xdr:col>
      <xdr:colOff>0</xdr:colOff>
      <xdr:row>15</xdr:row>
      <xdr:rowOff>0</xdr:rowOff>
    </xdr:from>
    <xdr:to>
      <xdr:col>15</xdr:col>
      <xdr:colOff>0</xdr:colOff>
      <xdr:row>21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c43edd2c924cde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15</xdr:col>
      <xdr:colOff>0</xdr:colOff>
      <xdr:row>37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cf55e225194e7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39c56654474dab" /></Relationships>
</file>

<file path=xl/worksheets/sheet1.xml><?xml version="1.0" encoding="utf-8"?>
<x:worksheet xmlns:x="http://schemas.openxmlformats.org/spreadsheetml/2006/main">
  <x:sheetPr>
    <x:tabColor rgb="FF245942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26" hidden="0" customWidth="1"/>
    <x:col min="3" max="3" width="48" hidden="0" customWidth="1"/>
    <x:col min="4" max="4" width="48" hidden="0" customWidth="1"/>
    <x:col min="5" max="5" width="31" hidden="0" customWidth="1"/>
    <x:col min="7" max="7" width="21" hidden="0" customWidth="1"/>
    <x:col min="8" max="8" width="21" hidden="0" customWidth="1"/>
    <x:col min="9" max="9" width="21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0" customHeight="1">
      <x:c r="A2" s="2"/>
      <x:c r="B2" s="3" t="str">
        <x:v>Measured results</x:v>
      </x:c>
      <x:c r="C2" s="2"/>
      <x:c r="D2" s="2"/>
      <x:c r="E2" s="2"/>
      <x:c r="F2" s="2"/>
      <x:c r="G2" s="2" t="str">
        <x:v>Measure</x:v>
      </x:c>
      <x:c r="H2" s="2" t="str">
        <x:v>Prompt agent</x:v>
      </x:c>
      <x:c r="I2" s="2" t="str">
        <x:v>Saved workflow</x:v>
      </x:c>
      <x:c r="J2" s="2"/>
      <x:c r="K2" s="2"/>
    </x:row>
    <x:row r="3" ht="24" customHeight="1">
      <x:c r="A3" s="2"/>
      <x:c r="B3" s="4" t="str">
        <x:f>TEXT(Benchmark!G5,"0.00")&amp;"x faster"</x:f>
        <x:v>6.54x faster</x:v>
      </x:c>
      <x:c r="C3" s="4" t="str">
        <x:v>Both methods: 100% observed field accuracy.</x:v>
      </x:c>
      <x:c r="D3" s="2"/>
      <x:c r="E3" s="2"/>
      <x:c r="F3" s="2"/>
      <x:c r="G3" s="2" t="str">
        <x:v>Mean elapsed (s)</x:v>
      </x:c>
      <x:c r="H3" s="21" t="n">
        <x:f>Benchmark!C6</x:f>
        <x:v>40.048610579999995</x:v>
      </x:c>
      <x:c r="I3" s="21" t="n">
        <x:f>Benchmark!D6</x:f>
        <x:v>6.123301240000009</x:v>
      </x:c>
      <x:c r="J3" s="2"/>
      <x:c r="K3" s="2"/>
    </x:row>
    <x:row r="4">
      <x:c r="A4" s="2"/>
      <x:c r="B4" s="4" t="str">
        <x:v>October 30, 2026. Ten paired local scraper cases. GPT-6.1 Sol, low reasoning. Native workflow needs no per-run model inference.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 t="str">
        <x:v>Measure</x:v>
      </x:c>
      <x:c r="H5" s="2" t="str">
        <x:v>Prompt agent</x:v>
      </x:c>
      <x:c r="I5" s="2" t="str">
        <x:v>Saved workflow</x:v>
      </x:c>
      <x:c r="J5" s="2"/>
      <x:c r="K5" s="2"/>
    </x:row>
    <x:row r="6" ht="30" customHeight="1">
      <x:c r="A6" s="2"/>
      <x:c r="B6" s="8" t="str">
        <x:v>Dimension</x:v>
      </x:c>
      <x:c r="C6" s="8" t="str">
        <x:v>Prompt-driven MCP agent</x:v>
      </x:c>
      <x:c r="D6" s="8" t="str">
        <x:v>MCP Workflow</x:v>
      </x:c>
      <x:c r="E6" s="8" t="str">
        <x:v>Interpretation</x:v>
      </x:c>
      <x:c r="F6" s="2"/>
      <x:c r="G6" s="2" t="str">
        <x:v>Field accuracy</x:v>
      </x:c>
      <x:c r="H6" s="14" t="n">
        <x:f>Benchmark!C7</x:f>
        <x:v>1</x:v>
      </x:c>
      <x:c r="I6" s="14" t="n">
        <x:f>Benchmark!D7</x:f>
        <x:v>1</x:v>
      </x:c>
      <x:c r="J6" s="2"/>
      <x:c r="K6" s="2"/>
    </x:row>
    <x:row r="7" ht="58" customHeight="1">
      <x:c r="A7" s="2"/>
      <x:c r="B7" s="10" t="str">
        <x:v>First task setup speed</x:v>
      </x:c>
      <x:c r="C7" s="10" t="str">
        <x:v>Prompt and start. Often fewer setup steps for a one-off task.</x:v>
      </x:c>
      <x:c r="D7" s="10" t="str">
        <x:v>Prompt the AI builder, review its draft, then save and run.</x:v>
      </x:c>
      <x:c r="E7" s="10" t="str">
        <x:v>Likely more review initially.</x:v>
      </x:c>
      <x:c r="F7" s="2"/>
      <x:c r="G7" s="2"/>
      <x:c r="H7" s="2"/>
      <x:c r="I7" s="2"/>
      <x:c r="J7" s="2"/>
      <x:c r="K7" s="2"/>
    </x:row>
    <x:row r="8" ht="58" customHeight="1">
      <x:c r="A8" s="2"/>
      <x:c r="B8" s="9" t="str">
        <x:v>Repeated run speed</x:v>
      </x:c>
      <x:c r="C8" s="9" t="str">
        <x:v>40.05 s mean with fresh prompt and MCP.</x:v>
      </x:c>
      <x:c r="D8" s="9" t="str">
        <x:v>6.12 s mean with the saved native graph.</x:v>
      </x:c>
      <x:c r="E8" s="9" t="str">
        <x:v>6.54x faster in this test.</x:v>
      </x:c>
      <x:c r="F8" s="2"/>
      <x:c r="G8" s="2"/>
      <x:c r="H8" s="2"/>
      <x:c r="I8" s="2"/>
      <x:c r="J8" s="2"/>
      <x:c r="K8" s="2"/>
    </x:row>
    <x:row r="9" ht="58" customHeight="1">
      <x:c r="A9" s="2"/>
      <x:c r="B9" s="10" t="str">
        <x:v>AI-heavy run speed</x:v>
      </x:c>
      <x:c r="C9" s="10" t="str">
        <x:v>Depends on model, tools, context and service latency.</x:v>
      </x:c>
      <x:c r="D9" s="10" t="str">
        <x:v>AI steps still use the provider. Per-step turns add overhead.</x:v>
      </x:c>
      <x:c r="E9" s="10" t="str">
        <x:v>No inherent speed advantage.</x:v>
      </x:c>
      <x:c r="F9" s="2"/>
      <x:c r="G9" s="2"/>
      <x:c r="H9" s="2"/>
      <x:c r="I9" s="2"/>
      <x:c r="J9" s="2"/>
      <x:c r="K9" s="2"/>
    </x:row>
    <x:row r="10" ht="58" customHeight="1">
      <x:c r="A10" s="2"/>
      <x:c r="B10" s="9" t="str">
        <x:v>Output accuracy</x:v>
      </x:c>
      <x:c r="C10" s="9" t="str">
        <x:v>100%: 200/200 canonical fields, checked in both CSV and JSON.</x:v>
      </x:c>
      <x:c r="D10" s="9" t="str">
        <x:v>100%: 200/200 canonical fields, checked in both CSV and JSON.</x:v>
      </x:c>
      <x:c r="E10" s="9" t="str">
        <x:v>No observed accuracy advantage.</x:v>
      </x:c>
      <x:c r="F10" s="2"/>
      <x:c r="G10" s="2"/>
      <x:c r="H10" s="2"/>
      <x:c r="I10" s="2"/>
      <x:c r="J10" s="2"/>
      <x:c r="K10" s="2"/>
    </x:row>
    <x:row r="11" ht="58" customHeight="1">
      <x:c r="A11" s="2"/>
      <x:c r="B11" s="10" t="str">
        <x:v>Accuracy when reused</x:v>
      </x:c>
      <x:c r="C11" s="10" t="str">
        <x:v>5/5 changed-input cases correct with the same prompt.</x:v>
      </x:c>
      <x:c r="D11" s="10" t="str">
        <x:v>5/5 changed-input cases correct with the same saved graph.</x:v>
      </x:c>
      <x:c r="E11" s="10" t="str">
        <x:v>Input values changed; arbitrary page layouts were not tested.</x:v>
      </x:c>
      <x:c r="F11" s="2"/>
      <x:c r="G11" s="2"/>
      <x:c r="H11" s="2"/>
      <x:c r="I11" s="2"/>
      <x:c r="J11" s="2"/>
      <x:c r="K11" s="2"/>
    </x:row>
    <x:row r="12" ht="58" customHeight="1">
      <x:c r="A12" s="2"/>
      <x:c r="B12" s="9" t="str">
        <x:v>Reusability</x:v>
      </x:c>
      <x:c r="C12" s="9" t="str">
        <x:v>Reuse the prompt; save files or scripts if the host supports it.</x:v>
      </x:c>
      <x:c r="D12" s="9" t="str">
        <x:v>Named workflows, descriptions, JSON import/export and templates.</x:v>
      </x:c>
      <x:c r="E12" s="9" t="str">
        <x:v>Workflow definition is explicit.</x:v>
      </x:c>
      <x:c r="F12" s="2"/>
      <x:c r="G12" s="2"/>
      <x:c r="H12" s="2"/>
      <x:c r="I12" s="2"/>
      <x:c r="J12" s="2"/>
      <x:c r="K12" s="2"/>
    </x:row>
    <x:row r="13" ht="58" customHeight="1">
      <x:c r="A13" s="2"/>
      <x:c r="B13" s="10" t="str">
        <x:v>AI workflow builder</x:v>
      </x:c>
      <x:c r="C13" s="10" t="str">
        <x:v>Agent can propose plans or generate code in conversation.</x:v>
      </x:c>
      <x:c r="D13" s="10" t="str">
        <x:v>Build with AI creates a validated, connected draft for review.</x:v>
      </x:c>
      <x:c r="E13" s="10" t="str">
        <x:v>Draft generation, not auto-execution.</x:v>
      </x:c>
      <x:c r="F13" s="2"/>
      <x:c r="G13" s="2"/>
      <x:c r="H13" s="2"/>
      <x:c r="I13" s="2"/>
      <x:c r="J13" s="2"/>
      <x:c r="K13" s="2"/>
    </x:row>
    <x:row r="14" ht="58" customHeight="1">
      <x:c r="A14" s="2"/>
      <x:c r="B14" s="9" t="str">
        <x:v>Branches and loops</x:v>
      </x:c>
      <x:c r="C14" s="9" t="str">
        <x:v>Agent interprets instructions and chooses actions at runtime.</x:v>
      </x:c>
      <x:c r="D14" s="9" t="str">
        <x:v>Visible condition, loop and counter routes with execution limits.</x:v>
      </x:c>
      <x:c r="E14" s="9" t="str">
        <x:v>More explicit control.</x:v>
      </x:c>
      <x:c r="F14" s="2"/>
      <x:c r="G14" s="2"/>
      <x:c r="H14" s="2"/>
      <x:c r="I14" s="2"/>
      <x:c r="J14" s="2"/>
      <x:c r="K14" s="2"/>
    </x:row>
    <x:row r="15" ht="58" customHeight="1">
      <x:c r="A15" s="2"/>
      <x:c r="B15" s="10" t="str">
        <x:v>Recovery and retries</x:v>
      </x:c>
      <x:c r="C15" s="10" t="str">
        <x:v>Depends on the host and prompt. Agent may improvise recovery.</x:v>
      </x:c>
      <x:c r="D15" s="10" t="str">
        <x:v>Per-step retries, inactivity timeout and error destinations.</x:v>
      </x:c>
      <x:c r="E15" s="10" t="str">
        <x:v>Retries can repeat side effects.</x:v>
      </x:c>
      <x:c r="F15" s="2"/>
      <x:c r="G15" s="2"/>
      <x:c r="H15" s="2"/>
      <x:c r="I15" s="2"/>
      <x:c r="J15" s="2"/>
      <x:c r="K15" s="2"/>
    </x:row>
    <x:row r="16" ht="58" customHeight="1">
      <x:c r="A16" s="2"/>
      <x:c r="B16" s="9" t="str">
        <x:v>Visibility</x:v>
      </x:c>
      <x:c r="C16" s="9" t="str">
        <x:v>Conversation and tool traces depend on the host.</x:v>
      </x:c>
      <x:c r="D16" s="9" t="str">
        <x:v>Active-step glow, delay countdowns, counters and live CSV view.</x:v>
      </x:c>
      <x:c r="E16" s="9" t="str">
        <x:v>Graph shows where work is.</x:v>
      </x:c>
      <x:c r="F16" s="2"/>
      <x:c r="G16" s="2"/>
      <x:c r="H16" s="2"/>
      <x:c r="I16" s="2"/>
      <x:c r="J16" s="2"/>
      <x:c r="K16" s="2"/>
    </x:row>
    <x:row r="17" ht="58" customHeight="1">
      <x:c r="A17" s="2"/>
      <x:c r="B17" s="10" t="str">
        <x:v>Timing and run history</x:v>
      </x:c>
      <x:c r="C17" s="10" t="str">
        <x:v>Depends on host instrumentation.</x:v>
      </x:c>
      <x:c r="D17" s="10" t="str">
        <x:v>Per-step durations, average times and workflow run counts.</x:v>
      </x:c>
      <x:c r="E17" s="10" t="str">
        <x:v>Built-in local statistics.</x:v>
      </x:c>
      <x:c r="F17" s="2"/>
      <x:c r="G17" s="2"/>
      <x:c r="H17" s="2"/>
      <x:c r="I17" s="2"/>
      <x:c r="J17" s="2"/>
      <x:c r="K17" s="2"/>
    </x:row>
    <x:row r="18" ht="58" customHeight="1">
      <x:c r="A18" s="2"/>
      <x:c r="B18" s="9" t="str">
        <x:v>Flexibility on unfamiliar tasks</x:v>
      </x:c>
      <x:c r="C18" s="9" t="str">
        <x:v>Agent can change its plan as new information arrives.</x:v>
      </x:c>
      <x:c r="D18" s="9" t="str">
        <x:v>AI Instructions adapt within a step; graph changes need editing.</x:v>
      </x:c>
      <x:c r="E18" s="9" t="str">
        <x:v>Prompt approach can be more flexible.</x:v>
      </x:c>
      <x:c r="F18" s="2"/>
      <x:c r="G18" s="2"/>
      <x:c r="H18" s="2"/>
      <x:c r="I18" s="2"/>
      <x:c r="J18" s="2"/>
      <x:c r="K18" s="2"/>
    </x:row>
    <x:row r="19" ht="58" customHeight="1">
      <x:c r="A19" s="2"/>
      <x:c r="B19" s="10" t="str">
        <x:v>Sharing and portability</x:v>
      </x:c>
      <x:c r="C19" s="10" t="str">
        <x:v>Prompt text is easy to share; tools and context may differ.</x:v>
      </x:c>
      <x:c r="D19" s="10" t="str">
        <x:v>JSON shares the graph; uploads, secrets and history stay local.</x:v>
      </x:c>
      <x:c r="E19" s="10" t="str">
        <x:v>Both need matching environment.</x:v>
      </x:c>
      <x:c r="F19" s="2"/>
      <x:c r="G19" s="2"/>
      <x:c r="H19" s="2"/>
      <x:c r="I19" s="2"/>
      <x:c r="J19" s="2"/>
      <x:c r="K19" s="2"/>
    </x:row>
    <x:row r="20" ht="58" customHeight="1">
      <x:c r="A20" s="2"/>
      <x:c r="B20" s="9" t="str">
        <x:v>Cost and AI usage</x:v>
      </x:c>
      <x:c r="C20" s="9" t="str">
        <x:v>153,304.4 reported model tokens/run on average, including cached input.</x:v>
      </x:c>
      <x:c r="D20" s="9" t="str">
        <x:v>0 model tokens per native repeat run. Builder/setup usage excluded.</x:v>
      </x:c>
      <x:c r="E20" s="9" t="str">
        <x:v>No dollar cost comparison. AI steps still consume model tokens.</x:v>
      </x:c>
      <x:c r="F20" s="2"/>
      <x:c r="G20" s="2"/>
      <x:c r="H20" s="2"/>
      <x:c r="I20" s="2"/>
      <x:c r="J20" s="2"/>
      <x:c r="K20" s="2"/>
    </x:row>
    <x:row r="21" ht="58" customHeight="1">
      <x:c r="A21" s="2"/>
      <x:c r="B21" s="10" t="str">
        <x:v>Maintenance</x:v>
      </x:c>
      <x:c r="C21" s="10" t="str">
        <x:v>Update the prompt or any generated scripts as inputs change.</x:v>
      </x:c>
      <x:c r="D21" s="10" t="str">
        <x:v>Update selectors, endpoints, step rules and provider settings.</x:v>
      </x:c>
      <x:c r="E21" s="10" t="str">
        <x:v>Both require upkeep.</x:v>
      </x:c>
      <x:c r="F21" s="2"/>
      <x:c r="G21" s="2"/>
      <x:c r="H21" s="2"/>
      <x:c r="I21" s="2"/>
      <x:c r="J21" s="2"/>
      <x:c r="K21" s="2"/>
    </x:row>
    <x:row r="22" ht="58" customHeight="1">
      <x:c r="A22" s="2"/>
      <x:c r="B22" s="9" t="str">
        <x:v>Scheduling and restart</x:v>
      </x:c>
      <x:c r="C22" s="9" t="str">
        <x:v>Some agent hosts support schedules or durable execution.</x:v>
      </x:c>
      <x:c r="D22" s="9" t="str">
        <x:v>Manual runs only. Delays do not resume after app shutdown.</x:v>
      </x:c>
      <x:c r="E22" s="9" t="str">
        <x:v>Current app limitation.</x:v>
      </x:c>
      <x:c r="F22" s="2"/>
      <x:c r="G22" s="2"/>
      <x:c r="H22" s="2"/>
      <x:c r="I22" s="2"/>
      <x:c r="J22" s="2"/>
      <x:c r="K22" s="2"/>
    </x:row>
    <x:row r="23" ht="58" customHeight="1">
      <x:c r="A23" s="2"/>
      <x:c r="B23" s="10" t="str">
        <x:v>Best fit</x:v>
      </x:c>
      <x:c r="C23" s="10" t="str">
        <x:v>Exploration, one-off tasks and changing requirements.</x:v>
      </x:c>
      <x:c r="D23" s="10" t="str">
        <x:v>Recurring tasks with known inputs, routes and outputs.</x:v>
      </x:c>
      <x:c r="E23" s="10" t="str">
        <x:v>Choose by task, not an overall score.</x:v>
      </x:c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11" t="str">
        <x:v>What the existing demo actually shows</x:v>
      </x:c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 t="str">
        <x:v>Two fictional bundled pages. Five unique products. The observed CSV grew from 3 to 5 rows. No live Amazon traffic.</x:v>
      </x:c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 t="str">
        <x:v>Matched result: ten trials per method, including six seconds of deliberate waits. One pilot was excluded on both sides.</x:v>
      </x:c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30" customHeight="1">
      <x:c r="A30" s="2"/>
      <x:c r="B30" s="8" t="str">
        <x:v>Collection stage</x:v>
      </x:c>
      <x:c r="C30" s="8" t="str">
        <x:v>Expected unique rows</x:v>
      </x:c>
      <x:c r="D30" s="8" t="str">
        <x:v>Observed unique rows</x:v>
      </x:c>
      <x:c r="E30" s="2"/>
      <x:c r="F30" s="2"/>
      <x:c r="G30" s="2"/>
      <x:c r="H30" s="2"/>
      <x:c r="I30" s="2"/>
      <x:c r="J30" s="2"/>
      <x:c r="K30" s="2"/>
    </x:row>
    <x:row r="31" ht="26" customHeight="1">
      <x:c r="A31" s="2"/>
      <x:c r="B31" s="2" t="str">
        <x:v>After page 1</x:v>
      </x:c>
      <x:c r="C31" s="2" t="n">
        <x:v>3</x:v>
      </x:c>
      <x:c r="D31" s="2" t="n">
        <x:v>3</x:v>
      </x:c>
      <x:c r="E31" s="2"/>
      <x:c r="F31" s="2"/>
      <x:c r="G31" s="2"/>
      <x:c r="H31" s="2"/>
      <x:c r="I31" s="2"/>
      <x:c r="J31" s="2"/>
      <x:c r="K31" s="2"/>
    </x:row>
    <x:row r="32" ht="26" customHeight="1">
      <x:c r="A32" s="2"/>
      <x:c r="B32" s="2" t="str">
        <x:v>After page 2</x:v>
      </x:c>
      <x:c r="C32" s="2" t="n">
        <x:v>5</x:v>
      </x:c>
      <x:c r="D32" s="2" t="n">
        <x:v>5</x:v>
      </x:c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 t="str">
        <x:v>Measure</x:v>
      </x:c>
      <x:c r="H39" s="2" t="str">
        <x:v>Prompt agent</x:v>
      </x:c>
      <x:c r="I39" s="2" t="str">
        <x:v>Saved workflow</x:v>
      </x:c>
      <x:c r="J39" s="2"/>
      <x:c r="K39" s="2"/>
    </x:row>
    <x:row r="40">
      <x:c r="A40" s="2"/>
      <x:c r="B40" s="2"/>
      <x:c r="C40" s="2"/>
      <x:c r="D40" s="2"/>
      <x:c r="E40" s="2"/>
      <x:c r="F40" s="2"/>
      <x:c r="G40" s="2" t="str">
        <x:v>Mean model tokens/run</x:v>
      </x:c>
      <x:c r="H40" s="38" t="n">
        <x:f>Benchmark!C47</x:f>
        <x:v>153304.4</x:v>
      </x:c>
      <x:c r="I40" s="38" t="n">
        <x:f>Benchmark!D47</x:f>
        <x:v>0</x:v>
      </x:c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12" t="str">
        <x:v>Sources and scope</x:v>
      </x:c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46" customHeight="1">
      <x:c r="A50" s="2"/>
      <x:c r="B50" s="9" t="str">
        <x:v>App features</x:v>
      </x:c>
      <x:c r="C50" s="9" t="str">
        <x:v>README and implementation at v0.16.0</x:v>
      </x:c>
      <x:c r="D50" s="9" t="str">
        <x:v>https://github.com/hacksider/MCP-Workflow</x:v>
      </x:c>
      <x:c r="E50" s="9"/>
      <x:c r="F50" s="2"/>
      <x:c r="G50" s="2"/>
      <x:c r="H50" s="2"/>
      <x:c r="I50" s="2"/>
      <x:c r="J50" s="2"/>
      <x:c r="K50" s="2"/>
    </x:row>
    <x:row r="51" ht="46" customHeight="1">
      <x:c r="A51" s="2"/>
      <x:c r="B51" s="9" t="str">
        <x:v>Observed demo</x:v>
      </x:c>
      <x:c r="C51" s="9" t="str">
        <x:v>docs/demo/README.md and products.csv</x:v>
      </x:c>
      <x:c r="D51" s="9" t="str">
        <x:v>https://github.com/hacksider/MCP-Workflow/tree/main/docs/demo</x:v>
      </x:c>
      <x:c r="E51" s="9"/>
      <x:c r="F51" s="2"/>
      <x:c r="G51" s="2"/>
      <x:c r="H51" s="2"/>
      <x:c r="I51" s="2"/>
      <x:c r="J51" s="2"/>
      <x:c r="K51" s="2"/>
    </x:row>
    <x:row r="52" ht="46" customHeight="1">
      <x:c r="A52" s="2"/>
      <x:c r="B52" s="9" t="str">
        <x:v>MCP definition</x:v>
      </x:c>
      <x:c r="C52" s="9" t="str">
        <x:v>MCP is a tool/context protocol. Agent-host behavior is not universal.</x:v>
      </x:c>
      <x:c r="D52" s="9" t="str">
        <x:v>https://github.com/modelcontextprotocol/modelcontextprotocol/blob/main/docs/specification/2025-11-25/architecture/index.mdx</x:v>
      </x:c>
      <x:c r="E52" s="9"/>
      <x:c r="F52" s="2"/>
      <x:c r="G52" s="2"/>
      <x:c r="H52" s="2"/>
      <x:c r="I52" s="2"/>
      <x:c r="J52" s="2"/>
      <x:c r="K52" s="2"/>
    </x:row>
    <x:row r="53" ht="46" customHeight="1">
      <x:c r="A53" s="2"/>
      <x:c r="B53" s="9" t="str">
        <x:v>Measured evidence</x:v>
      </x:c>
      <x:c r="C53" s="9" t="str">
        <x:v>Independent audit, run ledger, files and fixture hashes</x:v>
      </x:c>
      <x:c r="D53" s="9" t="str">
        <x:v>benchmarks/results/measured-2026-10-30T08-02-42-177Z</x:v>
      </x:c>
      <x:c r="E53" s="9"/>
      <x:c r="F53" s="2"/>
      <x:c r="G53" s="2"/>
      <x:c r="H53" s="2"/>
      <x:c r="I53" s="2"/>
      <x:c r="J53" s="2"/>
      <x:c r="K53" s="2"/>
    </x:row>
    <x:row r="54" ht="46" customHeight="1">
      <x:c r="A54" s="2"/>
      <x:c r="B54" s="9" t="str">
        <x:v>Limits</x:v>
      </x:c>
      <x:c r="C54" s="9" t="str">
        <x:v>Headless native scraping only; excludes UI, setup authoring and AI-heavy workflows.</x:v>
      </x:c>
      <x:c r="D54" s="9" t="str">
        <x:v>An agent reusing code or a higher-level tool is a different baseline.</x:v>
      </x:c>
      <x:c r="E54" s="9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</x:sheetData>
  <x:pageMargins left="0.7" right="0.7" top="0.75" bottom="0.75" header="0.3" footer="0.3"/>
  <x:drawing xmlns:r="http://schemas.openxmlformats.org/officeDocument/2006/relationships" r:id="R4439c56654474dab"/>
</x:worksheet>
</file>

<file path=xl/worksheets/sheet2.xml><?xml version="1.0" encoding="utf-8"?>
<x:worksheet xmlns:x="http://schemas.openxmlformats.org/spreadsheetml/2006/main">
  <x:sheetPr>
    <x:tabColor rgb="FF245942"/>
  </x:sheetPr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3" hidden="0" customWidth="1"/>
    <x:col min="2" max="2" width="2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1" hidden="0" customWidth="1"/>
    <x:col min="11" max="11" width="21" hidden="0" customWidth="1"/>
    <x:col min="12" max="12" width="21" hidden="0" customWidth="1"/>
    <x:col min="13" max="13" width="21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2"/>
      <x:c r="B2" s="3" t="str">
        <x:v>Measured scraper benchmark</x:v>
      </x:c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2"/>
      <x:c r="B3" s="2" t="str">
        <x:v>20 completed runs on October 30, 2026. Raw measurements below; formulas calculate the comparison above.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0" customHeight="1">
      <x:c r="A5" s="2"/>
      <x:c r="B5" s="8" t="str">
        <x:v>Metric</x:v>
      </x:c>
      <x:c r="C5" s="8" t="str">
        <x:v>Prompt agent</x:v>
      </x:c>
      <x:c r="D5" s="8" t="str">
        <x:v>Workflow</x:v>
      </x:c>
      <x:c r="E5" s="2"/>
      <x:c r="F5" s="2" t="str">
        <x:v>Measured speedup</x:v>
      </x:c>
      <x:c r="G5" s="15" t="n">
        <x:f>IF(OR(C6="",D6="",D6=0),"",C6/D6)</x:f>
        <x:v>6.540362626353483</x:v>
      </x:c>
      <x:c r="H5" s="2"/>
      <x:c r="I5" s="2"/>
      <x:c r="J5" s="2"/>
      <x:c r="K5" s="2"/>
    </x:row>
    <x:row r="6">
      <x:c r="A6" s="2"/>
      <x:c r="B6" s="2" t="str">
        <x:v>Average elapsed time (s)</x:v>
      </x:c>
      <x:c r="C6" s="21" t="n">
        <x:f>IF(COUNTIFS($B$15:$B$34,C$5,$D$15:$D$34,"&lt;&gt;",$D$15:$D$34,"&gt;=0")=0,"",SUMIFS($D$15:$D$34,$B$15:$B$34,C$5)/COUNTIFS($B$15:$B$34,C$5,$D$15:$D$34,"&lt;&gt;",$D$15:$D$34,"&gt;=0"))</x:f>
        <x:v>40.048610579999995</x:v>
      </x:c>
      <x:c r="D6" s="21" t="n">
        <x:f>IF(COUNTIFS($B$15:$B$34,D$5,$D$15:$D$34,"&lt;&gt;",$D$15:$D$34,"&gt;=0")=0,"",SUMIFS($D$15:$D$34,$B$15:$B$34,D$5)/COUNTIFS($B$15:$B$34,D$5,$D$15:$D$34,"&lt;&gt;",$D$15:$D$34,"&gt;=0"))</x:f>
        <x:v>6.123301240000009</x:v>
      </x:c>
      <x:c r="E6" s="2"/>
      <x:c r="F6" s="2"/>
      <x:c r="G6" s="2"/>
      <x:c r="H6" s="2"/>
      <x:c r="I6" s="2"/>
      <x:c r="J6" s="2"/>
      <x:c r="K6" s="2"/>
    </x:row>
    <x:row r="7">
      <x:c r="A7" s="2"/>
      <x:c r="B7" s="2" t="str">
        <x:v>Field accuracy</x:v>
      </x:c>
      <x:c r="C7" s="14" t="n">
        <x:f>IF(SUMIFS($F$15:$F$34,$B$15:$B$34,C$5)=0,"",SUMIFS($E$15:$E$34,$B$15:$B$34,C$5)/SUMIFS($F$15:$F$34,$B$15:$B$34,C$5))</x:f>
        <x:v>1</x:v>
      </x:c>
      <x:c r="D7" s="14" t="n">
        <x:f>IF(SUMIFS($F$15:$F$34,$B$15:$B$34,D$5)=0,"",SUMIFS($E$15:$E$34,$B$15:$B$34,D$5)/SUMIFS($F$15:$F$34,$B$15:$B$34,D$5))</x:f>
        <x:v>1</x:v>
      </x:c>
      <x:c r="E7" s="2"/>
      <x:c r="F7" s="2" t="str">
        <x:v>Accuracy delta (pp)</x:v>
      </x:c>
      <x:c r="G7" s="13" t="n">
        <x:f>IF(OR(C7="",D7=""),"",(D7-C7)*100)</x:f>
        <x:v>0</x:v>
      </x:c>
      <x:c r="H7" s="2"/>
      <x:c r="I7" s="2"/>
      <x:c r="J7" s="2"/>
      <x:c r="K7" s="2"/>
    </x:row>
    <x:row r="8">
      <x:c r="A8" s="2"/>
      <x:c r="B8" s="2" t="str">
        <x:v>Successful run rate</x:v>
      </x:c>
      <x:c r="C8" s="14" t="n">
        <x:f>IF(COUNTIFS($B$15:$B$34,C$5,$G$15:$G$34,"&lt;&gt;",$G$15:$G$34,"&gt;=0")=0,"",SUMIFS($G$15:$G$34,$B$15:$B$34,C$5)/COUNTIFS($B$15:$B$34,C$5,$G$15:$G$34,"&lt;&gt;",$G$15:$G$34,"&gt;=0"))</x:f>
        <x:v>1</x:v>
      </x:c>
      <x:c r="D8" s="14" t="n">
        <x:f>IF(COUNTIFS($B$15:$B$34,D$5,$G$15:$G$34,"&lt;&gt;",$G$15:$G$34,"&gt;=0")=0,"",SUMIFS($G$15:$G$34,$B$15:$B$34,D$5)/COUNTIFS($B$15:$B$34,D$5,$G$15:$G$34,"&lt;&gt;",$G$15:$G$34,"&gt;=0"))</x:f>
        <x:v>1</x:v>
      </x:c>
      <x:c r="E8" s="2"/>
      <x:c r="F8" s="2"/>
      <x:c r="G8" s="2"/>
      <x:c r="H8" s="2"/>
      <x:c r="I8" s="2"/>
      <x:c r="J8" s="2"/>
      <x:c r="K8" s="2"/>
    </x:row>
    <x:row r="9">
      <x:c r="A9" s="2"/>
      <x:c r="B9" s="2" t="str">
        <x:v>Average human fixes</x:v>
      </x:c>
      <x:c r="C9" s="13" t="n">
        <x:f>IF(COUNTIFS($B$15:$B$34,C$5,$H$15:$H$34,"&lt;&gt;",$H$15:$H$34,"&gt;=0")=0,"",SUMIFS($H$15:$H$34,$B$15:$B$34,C$5)/COUNTIFS($B$15:$B$34,C$5,$H$15:$H$34,"&lt;&gt;",$H$15:$H$34,"&gt;=0"))</x:f>
        <x:v>0</x:v>
      </x:c>
      <x:c r="D9" s="13" t="n">
        <x:f>IF(COUNTIFS($B$15:$B$34,D$5,$H$15:$H$34,"&lt;&gt;",$H$15:$H$34,"&gt;=0")=0,"",SUMIFS($H$15:$H$34,$B$15:$B$34,D$5)/COUNTIFS($B$15:$B$34,D$5,$H$15:$H$34,"&lt;&gt;",$H$15:$H$34,"&gt;=0"))</x:f>
        <x:v>0</x:v>
      </x:c>
      <x:c r="E9" s="2"/>
      <x:c r="F9" s="2"/>
      <x:c r="G9" s="2"/>
      <x:c r="H9" s="2"/>
      <x:c r="I9" s="2"/>
      <x:c r="J9" s="2"/>
      <x:c r="K9" s="2"/>
    </x:row>
    <x:row r="10">
      <x:c r="A10" s="2"/>
      <x:c r="B10" s="2" t="str">
        <x:v>Median elapsed time (s)</x:v>
      </x:c>
      <x:c r="C10" s="21" t="n">
        <x:f>MEDIAN(D15,D17,D19,D21,D23,D25,D27,D29,D31,D33)</x:f>
        <x:v>39.513275300000004</x:v>
      </x:c>
      <x:c r="D10" s="21" t="n">
        <x:f>MEDIAN(D16,D18,D20,D22,D24,D26,D28,D30,D32,D34)</x:f>
        <x:v>6.122887000000002</x:v>
      </x:c>
      <x:c r="E10" s="2"/>
      <x:c r="F10" s="2"/>
      <x:c r="G10" s="2"/>
      <x:c r="H10" s="2"/>
      <x:c r="I10" s="2"/>
      <x:c r="J10" s="2"/>
      <x:c r="K10" s="2"/>
    </x:row>
    <x:row r="11">
      <x:c r="A11" s="2"/>
      <x:c r="B11" s="2" t="str">
        <x:v>Minimum elapsed time (s)</x:v>
      </x:c>
      <x:c r="C11" s="21" t="n">
        <x:f>MIN(D15,D17,D19,D21,D23,D25,D27,D29,D31,D33)</x:f>
        <x:v>29.247441099999996</x:v>
      </x:c>
      <x:c r="D11" s="21" t="n">
        <x:f>MIN(D16,D18,D20,D22,D24,D26,D28,D30,D32,D34)</x:f>
        <x:v>6.096144200000002</x:v>
      </x:c>
      <x:c r="E11" s="2"/>
      <x:c r="F11" s="2"/>
      <x:c r="G11" s="2"/>
      <x:c r="H11" s="2"/>
      <x:c r="I11" s="2"/>
      <x:c r="J11" s="2"/>
      <x:c r="K11" s="2"/>
    </x:row>
    <x:row r="12">
      <x:c r="A12" s="2"/>
      <x:c r="B12" s="2" t="str">
        <x:v>Maximum elapsed time (s)</x:v>
      </x:c>
      <x:c r="C12" s="21" t="n">
        <x:f>MAX(D15,D17,D19,D21,D23,D25,D27,D29,D31,D33)</x:f>
        <x:v>55.79296789999999</x:v>
      </x:c>
      <x:c r="D12" s="21" t="n">
        <x:f>MAX(D16,D18,D20,D22,D24,D26,D28,D30,D32,D34)</x:f>
        <x:v>6.167543500000029</x:v>
      </x:c>
      <x:c r="E12" s="2"/>
      <x:c r="F12" s="2"/>
      <x:c r="G12" s="2"/>
      <x:c r="H12" s="2"/>
      <x:c r="I12" s="2"/>
      <x:c r="J12" s="2"/>
      <x:c r="K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30" customHeight="1">
      <x:c r="A14" s="2"/>
      <x:c r="B14" s="8" t="str">
        <x:v>Method</x:v>
      </x:c>
      <x:c r="C14" s="8" t="str">
        <x:v>Pair</x:v>
      </x:c>
      <x:c r="D14" s="8" t="str">
        <x:v>Elapsed (s)</x:v>
      </x:c>
      <x:c r="E14" s="8" t="str">
        <x:v>Correct fields</x:v>
      </x:c>
      <x:c r="F14" s="8" t="str">
        <x:v>Expected fields</x:v>
      </x:c>
      <x:c r="G14" s="8" t="str">
        <x:v>Success (1/0)</x:v>
      </x:c>
      <x:c r="H14" s="8" t="str">
        <x:v>Human fixes</x:v>
      </x:c>
      <x:c r="I14" s="8" t="str">
        <x:v>Total model tokens</x:v>
      </x:c>
      <x:c r="J14" s="30" t="str">
        <x:v>Input tokens</x:v>
      </x:c>
      <x:c r="K14" s="30" t="str">
        <x:v>Cached input tokens</x:v>
      </x:c>
      <x:c r="L14" s="31" t="str">
        <x:v>Output tokens</x:v>
      </x:c>
      <x:c r="M14" s="31" t="str">
        <x:v>Reasoning output tokens</x:v>
      </x:c>
    </x:row>
    <x:row r="15" ht="25" customHeight="1">
      <x:c r="A15" s="2"/>
      <x:c r="B15" s="2" t="str">
        <x:v>Prompt agent</x:v>
      </x:c>
      <x:c r="C15" s="2" t="n">
        <x:v>1</x:v>
      </x:c>
      <x:c r="D15" s="32" t="n">
        <x:v>42.3280398</x:v>
      </x:c>
      <x:c r="E15" s="33" t="n">
        <x:v>20</x:v>
      </x:c>
      <x:c r="F15" s="33" t="n">
        <x:v>20</x:v>
      </x:c>
      <x:c r="G15" s="33" t="n">
        <x:v>1</x:v>
      </x:c>
      <x:c r="H15" s="33" t="n">
        <x:v>0</x:v>
      </x:c>
      <x:c r="I15" s="36" t="n">
        <x:v>182967</x:v>
      </x:c>
      <x:c r="J15" s="36" t="n">
        <x:v>181332</x:v>
      </x:c>
      <x:c r="K15" s="36" t="n">
        <x:v>143232</x:v>
      </x:c>
      <x:c r="L15" s="37" t="n">
        <x:v>1635</x:v>
      </x:c>
      <x:c r="M15" s="37" t="n">
        <x:v>0</x:v>
      </x:c>
    </x:row>
    <x:row r="16" ht="25" customHeight="1">
      <x:c r="A16" s="2"/>
      <x:c r="B16" s="2" t="str">
        <x:v>Workflow</x:v>
      </x:c>
      <x:c r="C16" s="2" t="n">
        <x:v>1</x:v>
      </x:c>
      <x:c r="D16" s="32" t="n">
        <x:v>6.123118199999997</x:v>
      </x:c>
      <x:c r="E16" s="33" t="n">
        <x:v>20</x:v>
      </x:c>
      <x:c r="F16" s="33" t="n">
        <x:v>20</x:v>
      </x:c>
      <x:c r="G16" s="33" t="n">
        <x:v>1</x:v>
      </x:c>
      <x:c r="H16" s="33" t="n">
        <x:v>0</x:v>
      </x:c>
      <x:c r="I16" s="36" t="n">
        <x:v>0</x:v>
      </x:c>
      <x:c r="J16" s="36" t="n">
        <x:v>0</x:v>
      </x:c>
      <x:c r="K16" s="36" t="n">
        <x:v>0</x:v>
      </x:c>
      <x:c r="L16" s="37" t="n">
        <x:v>0</x:v>
      </x:c>
      <x:c r="M16" s="37" t="n">
        <x:v>0</x:v>
      </x:c>
    </x:row>
    <x:row r="17" ht="25" customHeight="1">
      <x:c r="A17" s="2"/>
      <x:c r="B17" s="2" t="str">
        <x:v>Prompt agent</x:v>
      </x:c>
      <x:c r="C17" s="2" t="n">
        <x:v>2</x:v>
      </x:c>
      <x:c r="D17" s="32" t="n">
        <x:v>44.4053048</x:v>
      </x:c>
      <x:c r="E17" s="33" t="n">
        <x:v>20</x:v>
      </x:c>
      <x:c r="F17" s="33" t="n">
        <x:v>20</x:v>
      </x:c>
      <x:c r="G17" s="33" t="n">
        <x:v>1</x:v>
      </x:c>
      <x:c r="H17" s="33" t="n">
        <x:v>0</x:v>
      </x:c>
      <x:c r="I17" s="36" t="n">
        <x:v>185533</x:v>
      </x:c>
      <x:c r="J17" s="36" t="n">
        <x:v>183586</x:v>
      </x:c>
      <x:c r="K17" s="36" t="n">
        <x:v>163968</x:v>
      </x:c>
      <x:c r="L17" s="37" t="n">
        <x:v>1947</x:v>
      </x:c>
      <x:c r="M17" s="37" t="n">
        <x:v>0</x:v>
      </x:c>
    </x:row>
    <x:row r="18" ht="25" customHeight="1">
      <x:c r="A18" s="2"/>
      <x:c r="B18" s="2" t="str">
        <x:v>Workflow</x:v>
      </x:c>
      <x:c r="C18" s="2" t="n">
        <x:v>2</x:v>
      </x:c>
      <x:c r="D18" s="32" t="n">
        <x:v>6.096144200000002</x:v>
      </x:c>
      <x:c r="E18" s="33" t="n">
        <x:v>20</x:v>
      </x:c>
      <x:c r="F18" s="33" t="n">
        <x:v>20</x:v>
      </x:c>
      <x:c r="G18" s="33" t="n">
        <x:v>1</x:v>
      </x:c>
      <x:c r="H18" s="33" t="n">
        <x:v>0</x:v>
      </x:c>
      <x:c r="I18" s="36" t="n">
        <x:v>0</x:v>
      </x:c>
      <x:c r="J18" s="36" t="n">
        <x:v>0</x:v>
      </x:c>
      <x:c r="K18" s="36" t="n">
        <x:v>0</x:v>
      </x:c>
      <x:c r="L18" s="37" t="n">
        <x:v>0</x:v>
      </x:c>
      <x:c r="M18" s="37" t="n">
        <x:v>0</x:v>
      </x:c>
    </x:row>
    <x:row r="19" ht="25" customHeight="1">
      <x:c r="A19" s="2"/>
      <x:c r="B19" s="2" t="str">
        <x:v>Prompt agent</x:v>
      </x:c>
      <x:c r="C19" s="2" t="n">
        <x:v>3</x:v>
      </x:c>
      <x:c r="D19" s="32" t="n">
        <x:v>34.024773700000004</x:v>
      </x:c>
      <x:c r="E19" s="33" t="n">
        <x:v>20</x:v>
      </x:c>
      <x:c r="F19" s="33" t="n">
        <x:v>20</x:v>
      </x:c>
      <x:c r="G19" s="33" t="n">
        <x:v>1</x:v>
      </x:c>
      <x:c r="H19" s="33" t="n">
        <x:v>0</x:v>
      </x:c>
      <x:c r="I19" s="36" t="n">
        <x:v>142184</x:v>
      </x:c>
      <x:c r="J19" s="36" t="n">
        <x:v>141586</x:v>
      </x:c>
      <x:c r="K19" s="36" t="n">
        <x:v>122880</x:v>
      </x:c>
      <x:c r="L19" s="37" t="n">
        <x:v>598</x:v>
      </x:c>
      <x:c r="M19" s="37" t="n">
        <x:v>0</x:v>
      </x:c>
    </x:row>
    <x:row r="20" ht="25" customHeight="1">
      <x:c r="A20" s="2"/>
      <x:c r="B20" s="2" t="str">
        <x:v>Workflow</x:v>
      </x:c>
      <x:c r="C20" s="2" t="n">
        <x:v>3</x:v>
      </x:c>
      <x:c r="D20" s="32" t="n">
        <x:v>6.109858500000002</x:v>
      </x:c>
      <x:c r="E20" s="33" t="n">
        <x:v>20</x:v>
      </x:c>
      <x:c r="F20" s="33" t="n">
        <x:v>20</x:v>
      </x:c>
      <x:c r="G20" s="33" t="n">
        <x:v>1</x:v>
      </x:c>
      <x:c r="H20" s="33" t="n">
        <x:v>0</x:v>
      </x:c>
      <x:c r="I20" s="36" t="n">
        <x:v>0</x:v>
      </x:c>
      <x:c r="J20" s="36" t="n">
        <x:v>0</x:v>
      </x:c>
      <x:c r="K20" s="36" t="n">
        <x:v>0</x:v>
      </x:c>
      <x:c r="L20" s="37" t="n">
        <x:v>0</x:v>
      </x:c>
      <x:c r="M20" s="37" t="n">
        <x:v>0</x:v>
      </x:c>
    </x:row>
    <x:row r="21" ht="25" customHeight="1">
      <x:c r="A21" s="2"/>
      <x:c r="B21" s="2" t="str">
        <x:v>Prompt agent</x:v>
      </x:c>
      <x:c r="C21" s="2" t="n">
        <x:v>4</x:v>
      </x:c>
      <x:c r="D21" s="32" t="n">
        <x:v>29.247441099999996</x:v>
      </x:c>
      <x:c r="E21" s="33" t="n">
        <x:v>20</x:v>
      </x:c>
      <x:c r="F21" s="33" t="n">
        <x:v>20</x:v>
      </x:c>
      <x:c r="G21" s="33" t="n">
        <x:v>1</x:v>
      </x:c>
      <x:c r="H21" s="33" t="n">
        <x:v>0</x:v>
      </x:c>
      <x:c r="I21" s="36" t="n">
        <x:v>115581</x:v>
      </x:c>
      <x:c r="J21" s="36" t="n">
        <x:v>114274</x:v>
      </x:c>
      <x:c r="K21" s="36" t="n">
        <x:v>104576</x:v>
      </x:c>
      <x:c r="L21" s="37" t="n">
        <x:v>1307</x:v>
      </x:c>
      <x:c r="M21" s="37" t="n">
        <x:v>12</x:v>
      </x:c>
    </x:row>
    <x:row r="22" ht="25" customHeight="1">
      <x:c r="A22" s="2"/>
      <x:c r="B22" s="2" t="str">
        <x:v>Workflow</x:v>
      </x:c>
      <x:c r="C22" s="2" t="n">
        <x:v>4</x:v>
      </x:c>
      <x:c r="D22" s="32" t="n">
        <x:v>6.114583299999999</x:v>
      </x:c>
      <x:c r="E22" s="33" t="n">
        <x:v>20</x:v>
      </x:c>
      <x:c r="F22" s="33" t="n">
        <x:v>20</x:v>
      </x:c>
      <x:c r="G22" s="33" t="n">
        <x:v>1</x:v>
      </x:c>
      <x:c r="H22" s="33" t="n">
        <x:v>0</x:v>
      </x:c>
      <x:c r="I22" s="36" t="n">
        <x:v>0</x:v>
      </x:c>
      <x:c r="J22" s="36" t="n">
        <x:v>0</x:v>
      </x:c>
      <x:c r="K22" s="36" t="n">
        <x:v>0</x:v>
      </x:c>
      <x:c r="L22" s="37" t="n">
        <x:v>0</x:v>
      </x:c>
      <x:c r="M22" s="37" t="n">
        <x:v>0</x:v>
      </x:c>
    </x:row>
    <x:row r="23" ht="25" customHeight="1">
      <x:c r="A23" s="2"/>
      <x:c r="B23" s="2" t="str">
        <x:v>Prompt agent</x:v>
      </x:c>
      <x:c r="C23" s="2" t="n">
        <x:v>5</x:v>
      </x:c>
      <x:c r="D23" s="32" t="n">
        <x:v>37.72880859999999</x:v>
      </x:c>
      <x:c r="E23" s="33" t="n">
        <x:v>20</x:v>
      </x:c>
      <x:c r="F23" s="33" t="n">
        <x:v>20</x:v>
      </x:c>
      <x:c r="G23" s="33" t="n">
        <x:v>1</x:v>
      </x:c>
      <x:c r="H23" s="33" t="n">
        <x:v>0</x:v>
      </x:c>
      <x:c r="I23" s="36" t="n">
        <x:v>118116</x:v>
      </x:c>
      <x:c r="J23" s="36" t="n">
        <x:v>116178</x:v>
      </x:c>
      <x:c r="K23" s="36" t="n">
        <x:v>83456</x:v>
      </x:c>
      <x:c r="L23" s="37" t="n">
        <x:v>1938</x:v>
      </x:c>
      <x:c r="M23" s="37" t="n">
        <x:v>17</x:v>
      </x:c>
    </x:row>
    <x:row r="24" ht="25" customHeight="1">
      <x:c r="A24" s="2"/>
      <x:c r="B24" s="2" t="str">
        <x:v>Workflow</x:v>
      </x:c>
      <x:c r="C24" s="2" t="n">
        <x:v>5</x:v>
      </x:c>
      <x:c r="D24" s="32" t="n">
        <x:v>6.111938999999984</x:v>
      </x:c>
      <x:c r="E24" s="33" t="n">
        <x:v>20</x:v>
      </x:c>
      <x:c r="F24" s="33" t="n">
        <x:v>20</x:v>
      </x:c>
      <x:c r="G24" s="33" t="n">
        <x:v>1</x:v>
      </x:c>
      <x:c r="H24" s="33" t="n">
        <x:v>0</x:v>
      </x:c>
      <x:c r="I24" s="36" t="n">
        <x:v>0</x:v>
      </x:c>
      <x:c r="J24" s="36" t="n">
        <x:v>0</x:v>
      </x:c>
      <x:c r="K24" s="36" t="n">
        <x:v>0</x:v>
      </x:c>
      <x:c r="L24" s="37" t="n">
        <x:v>0</x:v>
      </x:c>
      <x:c r="M24" s="37" t="n">
        <x:v>0</x:v>
      </x:c>
    </x:row>
    <x:row r="25" ht="25" customHeight="1">
      <x:c r="A25" s="2"/>
      <x:c r="B25" s="2" t="str">
        <x:v>Prompt agent</x:v>
      </x:c>
      <x:c r="C25" s="2" t="n">
        <x:v>6</x:v>
      </x:c>
      <x:c r="D25" s="32" t="n">
        <x:v>35.83691159999999</x:v>
      </x:c>
      <x:c r="E25" s="33" t="n">
        <x:v>20</x:v>
      </x:c>
      <x:c r="F25" s="33" t="n">
        <x:v>20</x:v>
      </x:c>
      <x:c r="G25" s="33" t="n">
        <x:v>1</x:v>
      </x:c>
      <x:c r="H25" s="33" t="n">
        <x:v>0</x:v>
      </x:c>
      <x:c r="I25" s="36" t="n">
        <x:v>116407</x:v>
      </x:c>
      <x:c r="J25" s="36" t="n">
        <x:v>114822</x:v>
      </x:c>
      <x:c r="K25" s="36" t="n">
        <x:v>82048</x:v>
      </x:c>
      <x:c r="L25" s="37" t="n">
        <x:v>1585</x:v>
      </x:c>
      <x:c r="M25" s="37" t="n">
        <x:v>0</x:v>
      </x:c>
    </x:row>
    <x:row r="26" ht="25" customHeight="1">
      <x:c r="A26" s="2"/>
      <x:c r="B26" s="2" t="str">
        <x:v>Workflow</x:v>
      </x:c>
      <x:c r="C26" s="2" t="n">
        <x:v>6</x:v>
      </x:c>
      <x:c r="D26" s="32" t="n">
        <x:v>6.128204300000013</x:v>
      </x:c>
      <x:c r="E26" s="33" t="n">
        <x:v>20</x:v>
      </x:c>
      <x:c r="F26" s="33" t="n">
        <x:v>20</x:v>
      </x:c>
      <x:c r="G26" s="33" t="n">
        <x:v>1</x:v>
      </x:c>
      <x:c r="H26" s="33" t="n">
        <x:v>0</x:v>
      </x:c>
      <x:c r="I26" s="36" t="n">
        <x:v>0</x:v>
      </x:c>
      <x:c r="J26" s="36" t="n">
        <x:v>0</x:v>
      </x:c>
      <x:c r="K26" s="36" t="n">
        <x:v>0</x:v>
      </x:c>
      <x:c r="L26" s="37" t="n">
        <x:v>0</x:v>
      </x:c>
      <x:c r="M26" s="37" t="n">
        <x:v>0</x:v>
      </x:c>
    </x:row>
    <x:row r="27" ht="25" customHeight="1">
      <x:c r="A27" s="2"/>
      <x:c r="B27" s="2" t="str">
        <x:v>Prompt agent</x:v>
      </x:c>
      <x:c r="C27" s="2" t="n">
        <x:v>7</x:v>
      </x:c>
      <x:c r="D27" s="32" t="n">
        <x:v>35.66634939999998</x:v>
      </x:c>
      <x:c r="E27" s="33" t="n">
        <x:v>20</x:v>
      </x:c>
      <x:c r="F27" s="33" t="n">
        <x:v>20</x:v>
      </x:c>
      <x:c r="G27" s="33" t="n">
        <x:v>1</x:v>
      </x:c>
      <x:c r="H27" s="33" t="n">
        <x:v>0</x:v>
      </x:c>
      <x:c r="I27" s="36" t="n">
        <x:v>118093</x:v>
      </x:c>
      <x:c r="J27" s="36" t="n">
        <x:v>116177</x:v>
      </x:c>
      <x:c r="K27" s="36" t="n">
        <x:v>97408</x:v>
      </x:c>
      <x:c r="L27" s="37" t="n">
        <x:v>1916</x:v>
      </x:c>
      <x:c r="M27" s="37" t="n">
        <x:v>15</x:v>
      </x:c>
    </x:row>
    <x:row r="28" ht="25" customHeight="1">
      <x:c r="A28" s="2"/>
      <x:c r="B28" s="2" t="str">
        <x:v>Workflow</x:v>
      </x:c>
      <x:c r="C28" s="2" t="n">
        <x:v>7</x:v>
      </x:c>
      <x:c r="D28" s="32" t="n">
        <x:v>6.1226558000000075</x:v>
      </x:c>
      <x:c r="E28" s="33" t="n">
        <x:v>20</x:v>
      </x:c>
      <x:c r="F28" s="33" t="n">
        <x:v>20</x:v>
      </x:c>
      <x:c r="G28" s="33" t="n">
        <x:v>1</x:v>
      </x:c>
      <x:c r="H28" s="33" t="n">
        <x:v>0</x:v>
      </x:c>
      <x:c r="I28" s="36" t="n">
        <x:v>0</x:v>
      </x:c>
      <x:c r="J28" s="36" t="n">
        <x:v>0</x:v>
      </x:c>
      <x:c r="K28" s="36" t="n">
        <x:v>0</x:v>
      </x:c>
      <x:c r="L28" s="37" t="n">
        <x:v>0</x:v>
      </x:c>
      <x:c r="M28" s="37" t="n">
        <x:v>0</x:v>
      </x:c>
    </x:row>
    <x:row r="29" ht="25" customHeight="1">
      <x:c r="A29" s="2"/>
      <x:c r="B29" s="2" t="str">
        <x:v>Prompt agent</x:v>
      </x:c>
      <x:c r="C29" s="2" t="n">
        <x:v>8</x:v>
      </x:c>
      <x:c r="D29" s="32" t="n">
        <x:v>44.157766899999984</x:v>
      </x:c>
      <x:c r="E29" s="33" t="n">
        <x:v>20</x:v>
      </x:c>
      <x:c r="F29" s="33" t="n">
        <x:v>20</x:v>
      </x:c>
      <x:c r="G29" s="33" t="n">
        <x:v>1</x:v>
      </x:c>
      <x:c r="H29" s="33" t="n">
        <x:v>0</x:v>
      </x:c>
      <x:c r="I29" s="36" t="n">
        <x:v>185326</x:v>
      </x:c>
      <x:c r="J29" s="36" t="n">
        <x:v>183388</x:v>
      </x:c>
      <x:c r="K29" s="36" t="n">
        <x:v>172800</x:v>
      </x:c>
      <x:c r="L29" s="37" t="n">
        <x:v>1938</x:v>
      </x:c>
      <x:c r="M29" s="37" t="n">
        <x:v>0</x:v>
      </x:c>
    </x:row>
    <x:row r="30" ht="25" customHeight="1">
      <x:c r="A30" s="2"/>
      <x:c r="B30" s="2" t="str">
        <x:v>Workflow</x:v>
      </x:c>
      <x:c r="C30" s="2" t="n">
        <x:v>8</x:v>
      </x:c>
      <x:c r="D30" s="32" t="n">
        <x:v>6.1330272000000114</x:v>
      </x:c>
      <x:c r="E30" s="33" t="n">
        <x:v>20</x:v>
      </x:c>
      <x:c r="F30" s="33" t="n">
        <x:v>20</x:v>
      </x:c>
      <x:c r="G30" s="33" t="n">
        <x:v>1</x:v>
      </x:c>
      <x:c r="H30" s="33" t="n">
        <x:v>0</x:v>
      </x:c>
      <x:c r="I30" s="36" t="n">
        <x:v>0</x:v>
      </x:c>
      <x:c r="J30" s="36" t="n">
        <x:v>0</x:v>
      </x:c>
      <x:c r="K30" s="36" t="n">
        <x:v>0</x:v>
      </x:c>
      <x:c r="L30" s="37" t="n">
        <x:v>0</x:v>
      </x:c>
      <x:c r="M30" s="37" t="n">
        <x:v>0</x:v>
      </x:c>
    </x:row>
    <x:row r="31" ht="25" customHeight="1">
      <x:c r="A31" s="2"/>
      <x:c r="B31" s="2" t="str">
        <x:v>Prompt agent</x:v>
      </x:c>
      <x:c r="C31" s="2" t="n">
        <x:v>9</x:v>
      </x:c>
      <x:c r="D31" s="32" t="n">
        <x:v>41.29774200000003</x:v>
      </x:c>
      <x:c r="E31" s="33" t="n">
        <x:v>20</x:v>
      </x:c>
      <x:c r="F31" s="33" t="n">
        <x:v>20</x:v>
      </x:c>
      <x:c r="G31" s="33" t="n">
        <x:v>1</x:v>
      </x:c>
      <x:c r="H31" s="33" t="n">
        <x:v>0</x:v>
      </x:c>
      <x:c r="I31" s="36" t="n">
        <x:v>183042</x:v>
      </x:c>
      <x:c r="J31" s="36" t="n">
        <x:v>181415</x:v>
      </x:c>
      <x:c r="K31" s="36" t="n">
        <x:v>170880</x:v>
      </x:c>
      <x:c r="L31" s="37" t="n">
        <x:v>1627</x:v>
      </x:c>
      <x:c r="M31" s="37" t="n">
        <x:v>0</x:v>
      </x:c>
    </x:row>
    <x:row r="32" ht="25" customHeight="1">
      <x:c r="A32" s="2"/>
      <x:c r="B32" s="2" t="str">
        <x:v>Workflow</x:v>
      </x:c>
      <x:c r="C32" s="2" t="n">
        <x:v>9</x:v>
      </x:c>
      <x:c r="D32" s="32" t="n">
        <x:v>6.1259384000000425</x:v>
      </x:c>
      <x:c r="E32" s="33" t="n">
        <x:v>20</x:v>
      </x:c>
      <x:c r="F32" s="33" t="n">
        <x:v>20</x:v>
      </x:c>
      <x:c r="G32" s="33" t="n">
        <x:v>1</x:v>
      </x:c>
      <x:c r="H32" s="33" t="n">
        <x:v>0</x:v>
      </x:c>
      <x:c r="I32" s="36" t="n">
        <x:v>0</x:v>
      </x:c>
      <x:c r="J32" s="36" t="n">
        <x:v>0</x:v>
      </x:c>
      <x:c r="K32" s="36" t="n">
        <x:v>0</x:v>
      </x:c>
      <x:c r="L32" s="37" t="n">
        <x:v>0</x:v>
      </x:c>
      <x:c r="M32" s="37" t="n">
        <x:v>0</x:v>
      </x:c>
    </x:row>
    <x:row r="33" ht="25" customHeight="1">
      <x:c r="A33" s="2"/>
      <x:c r="B33" s="2" t="str">
        <x:v>Prompt agent</x:v>
      </x:c>
      <x:c r="C33" s="2" t="n">
        <x:v>10</x:v>
      </x:c>
      <x:c r="D33" s="32" t="n">
        <x:v>55.79296789999999</x:v>
      </x:c>
      <x:c r="E33" s="33" t="n">
        <x:v>20</x:v>
      </x:c>
      <x:c r="F33" s="33" t="n">
        <x:v>20</x:v>
      </x:c>
      <x:c r="G33" s="33" t="n">
        <x:v>1</x:v>
      </x:c>
      <x:c r="H33" s="33" t="n">
        <x:v>0</x:v>
      </x:c>
      <x:c r="I33" s="36" t="n">
        <x:v>185795</x:v>
      </x:c>
      <x:c r="J33" s="36" t="n">
        <x:v>183824</x:v>
      </x:c>
      <x:c r="K33" s="36" t="n">
        <x:v>164224</x:v>
      </x:c>
      <x:c r="L33" s="37" t="n">
        <x:v>1971</x:v>
      </x:c>
      <x:c r="M33" s="37" t="n">
        <x:v>0</x:v>
      </x:c>
    </x:row>
    <x:row r="34" ht="25" customHeight="1">
      <x:c r="A34" s="2"/>
      <x:c r="B34" s="2" t="str">
        <x:v>Workflow</x:v>
      </x:c>
      <x:c r="C34" s="2" t="n">
        <x:v>10</x:v>
      </x:c>
      <x:c r="D34" s="32" t="n">
        <x:v>6.167543500000029</x:v>
      </x:c>
      <x:c r="E34" s="33" t="n">
        <x:v>20</x:v>
      </x:c>
      <x:c r="F34" s="33" t="n">
        <x:v>20</x:v>
      </x:c>
      <x:c r="G34" s="33" t="n">
        <x:v>1</x:v>
      </x:c>
      <x:c r="H34" s="33" t="n">
        <x:v>0</x:v>
      </x:c>
      <x:c r="I34" s="36" t="n">
        <x:v>0</x:v>
      </x:c>
      <x:c r="J34" s="36" t="n">
        <x:v>0</x:v>
      </x:c>
      <x:c r="K34" s="36" t="n">
        <x:v>0</x:v>
      </x:c>
      <x:c r="L34" s="37" t="n">
        <x:v>0</x:v>
      </x:c>
      <x:c r="M34" s="37" t="n">
        <x:v>0</x:v>
      </x:c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 t="str">
        <x:v>Field accuracy counts 20 canonical expected values per trial, validated in BOTH CSV and JSON. Wrong/missing fields are incorrect.</x:v>
      </x:c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 t="str">
        <x:v>Pairs 1–5: unchanged catalog. 6: price. 7: title. 8: missing optional price. 9: conflicting duplicate. 10: comma and HTML entity.</x:v>
      </x:c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 t="str">
        <x:v>All trials used the same prompt/graph and first-occurrence deduplication. No manual corrections or whole-trial retries.</x:v>
      </x:c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 t="str">
        <x:v>Timer includes method startup, both 3-second waits, execution, agent completion and file validation. Compilation/setup authoring excluded.</x:v>
      </x:c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 t="str">
        <x:v>An independent Python CSV/JSON audit reproduced all 20 scores, fixture hashes and aggregate mean/median values.</x:v>
      </x:c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 t="str">
        <x:v>Agent: GPT-6.1 Sol, low reasoning, ChatGPT subscription. Reported tokens include cached input; they are not a dollar cost measure.</x:v>
      </x:c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 t="str">
        <x:v>Workflow: production runGraph/executeNativeStep with native Rust parsing and file writers. Tauri transport replaced by local stdio.</x:v>
      </x:c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 t="str">
        <x:v>These small frozen cases do not establish accuracy on other sites or speed for AI-heavy steps. Shared parser isolates orchestration.</x:v>
      </x:c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30" customHeight="1">
      <x:c r="A46" s="2"/>
      <x:c r="B46" s="26" t="str">
        <x:v>Mean token usage per run</x:v>
      </x:c>
      <x:c r="C46" s="26" t="str">
        <x:v>Prompt agent</x:v>
      </x:c>
      <x:c r="D46" s="26" t="str">
        <x:v>Workflow</x:v>
      </x:c>
      <x:c r="E46" s="2"/>
      <x:c r="F46" s="2"/>
      <x:c r="G46" s="2"/>
      <x:c r="H46" s="2"/>
      <x:c r="I46" s="2"/>
      <x:c r="J46" s="2"/>
      <x:c r="K46" s="2"/>
    </x:row>
    <x:row r="47">
      <x:c r="A47" s="2"/>
      <x:c r="B47" s="2" t="str">
        <x:v>Total model tokens</x:v>
      </x:c>
      <x:c r="C47" s="38" t="n">
        <x:f>SUMIFS($I$15:$I$34,$B$15:$B$34,C$46)/COUNTIFS($B$15:$B$34,C$46)</x:f>
        <x:v>153304.4</x:v>
      </x:c>
      <x:c r="D47" s="38" t="n">
        <x:f>SUMIFS($I$15:$I$34,$B$15:$B$34,D$46)/COUNTIFS($B$15:$B$34,D$46)</x:f>
        <x:v>0</x:v>
      </x:c>
      <x:c r="E47" s="2"/>
      <x:c r="F47" s="2"/>
      <x:c r="G47" s="2"/>
      <x:c r="H47" s="2"/>
      <x:c r="I47" s="2"/>
      <x:c r="J47" s="2"/>
      <x:c r="K47" s="2"/>
    </x:row>
    <x:row r="48">
      <x:c r="A48" s="2"/>
      <x:c r="B48" s="2" t="str">
        <x:v>Input tokens</x:v>
      </x:c>
      <x:c r="C48" s="38" t="n">
        <x:f>SUMIFS($J$15:$J$34,$B$15:$B$34,C$46)/COUNTIFS($B$15:$B$34,C$46)</x:f>
        <x:v>151658.2</x:v>
      </x:c>
      <x:c r="D48" s="38" t="n">
        <x:f>SUMIFS($J$15:$J$34,$B$15:$B$34,D$46)/COUNTIFS($B$15:$B$34,D$46)</x:f>
        <x:v>0</x:v>
      </x:c>
      <x:c r="E48" s="2"/>
      <x:c r="F48" s="2"/>
      <x:c r="G48" s="2"/>
      <x:c r="H48" s="2"/>
      <x:c r="I48" s="2"/>
      <x:c r="J48" s="2"/>
      <x:c r="K48" s="2"/>
    </x:row>
    <x:row r="49">
      <x:c r="A49" s="2"/>
      <x:c r="B49" s="2" t="str">
        <x:v>Cached input tokens</x:v>
      </x:c>
      <x:c r="C49" s="38" t="n">
        <x:f>SUMIFS($K$15:$K$34,$B$15:$B$34,C$46)/COUNTIFS($B$15:$B$34,C$46)</x:f>
        <x:v>130547.2</x:v>
      </x:c>
      <x:c r="D49" s="38" t="n">
        <x:f>SUMIFS($K$15:$K$34,$B$15:$B$34,D$46)/COUNTIFS($B$15:$B$34,D$46)</x:f>
        <x:v>0</x:v>
      </x:c>
      <x:c r="E49" s="2"/>
      <x:c r="F49" s="2"/>
      <x:c r="G49" s="2"/>
      <x:c r="H49" s="2"/>
      <x:c r="I49" s="2"/>
      <x:c r="J49" s="2"/>
      <x:c r="K49" s="2"/>
    </x:row>
    <x:row r="50">
      <x:c r="A50" s="2"/>
      <x:c r="B50" s="2" t="str">
        <x:v>Output tokens</x:v>
      </x:c>
      <x:c r="C50" s="38" t="n">
        <x:f>SUMIFS($L$15:$L$34,$B$15:$B$34,C$46)/COUNTIFS($B$15:$B$34,C$46)</x:f>
        <x:v>1646.2</x:v>
      </x:c>
      <x:c r="D50" s="38" t="n">
        <x:f>SUMIFS($L$15:$L$34,$B$15:$B$34,D$46)/COUNTIFS($B$15:$B$34,D$46)</x:f>
        <x:v>0</x:v>
      </x:c>
      <x:c r="E50" s="2"/>
      <x:c r="F50" s="2"/>
      <x:c r="G50" s="2"/>
      <x:c r="H50" s="2"/>
      <x:c r="I50" s="2"/>
      <x:c r="J50" s="2"/>
      <x:c r="K50" s="2"/>
    </x:row>
    <x:row r="51">
      <x:c r="A51" s="2"/>
      <x:c r="B51" s="2" t="str">
        <x:v>Reasoning output tokens</x:v>
      </x:c>
      <x:c r="C51" s="38" t="n">
        <x:f>SUMIFS($M$15:$M$34,$B$15:$B$34,C$46)/COUNTIFS($B$15:$B$34,C$46)</x:f>
        <x:v>4.4</x:v>
      </x:c>
      <x:c r="D51" s="38" t="n">
        <x:f>SUMIFS($M$15:$M$34,$B$15:$B$34,D$46)/COUNTIFS($B$15:$B$34,D$46)</x:f>
        <x:v>0</x:v>
      </x:c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 t="str">
        <x:v>Tokens are cumulative for the whole agent run. Total = input + output; cached input is included in input and is not added again.</x:v>
      </x:c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 t="str">
        <x:v>Native runs invoke no model. AI builder/setup and AI-heavy steps are excluded; zero here does not mean all workflows use zero tokens.</x:v>
      </x:c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</x:sheetData>
  <x:dataValidations count="1">
    <x:dataValidation type="list" sqref="G15:G34">
      <x:formula1>"0,1"</x:formula1>
    </x:dataValidation>
  </x:dataValidations>
  <x:pageMargins left="0.7" right="0.7" top="0.75" bottom="0.75" header="0.3" footer="0.3"/>
</x:worksheet>
</file>