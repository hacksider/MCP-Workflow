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42c20ee78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3b31e7c382bf43da"/>
    <x:sheet xmlns:r="http://schemas.openxmlformats.org/officeDocument/2006/relationships" name="Benchmark" sheetId="2" r:id="Rbb7d01b32020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0.00&quot;x&quot;"/>
    <x:numFmt numFmtId="203" formatCode="0"/>
  </x:numFmts>
  <x:fonts count="7">
    <x:font>
      <x:sz val="11"/>
      <x:name val="Carlito"/>
    </x:font>
    <x:font>
      <x:sz val="11"/>
      <x:color rgb="FF24352F"/>
      <x:name val="Arial"/>
    </x:font>
    <x:font>
      <x:b/>
      <x:sz val="17"/>
      <x:color rgb="FF24352F"/>
      <x:name val="Arial"/>
    </x:font>
    <x:font>
      <x:i/>
      <x:sz val="11"/>
      <x:color rgb="FF596B63"/>
      <x:name val="Arial"/>
    </x:font>
    <x:font>
      <x:b/>
      <x:sz val="11"/>
      <x:color rgb="FFFFFFFF"/>
      <x:name val="Arial"/>
    </x:font>
    <x:font>
      <x:b/>
      <x:sz val="14"/>
      <x:color rgb="FF24352F"/>
      <x:name val="Arial"/>
    </x:font>
    <x:font>
      <x:b/>
      <x:sz val="11"/>
      <x:color rgb="FF24352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5942"/>
      </x:patternFill>
    </x:fill>
    <x:fill>
      <x:patternFill patternType="solid">
        <x:fgColor rgb="FFF0F5F1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3fdaed7dd473d" /><Relationship Type="http://schemas.openxmlformats.org/officeDocument/2006/relationships/theme" Target="/xl/theme/theme1.xml" Id="Rdbace03760db4771" /><Relationship Type="http://schemas.openxmlformats.org/officeDocument/2006/relationships/sharedStrings" Target="/xl/sharedStrings.xml" Id="R73cb69a13de04ae9" /><Relationship Type="http://schemas.openxmlformats.org/officeDocument/2006/relationships/worksheet" Target="/xl/worksheets/sheet1.xml" Id="R3b31e7c382bf43da" /><Relationship Type="http://schemas.openxmlformats.org/officeDocument/2006/relationships/worksheet" Target="/xl/worksheets/sheet2.xml" Id="Rbb7d01b3202042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efa2ec14e748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Demo row counts (not an accuracy benchmark)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Expected unique rows</c:v>
          </c:tx>
          <c:spPr>
            <a:solidFill xmlns:a="http://schemas.openxmlformats.org/drawingml/2006/main">
              <a:srgbClr val="A3B6AC"/>
            </a:solidFill>
          </c:spPr>
          <c:invertIfNegative val="0"/>
          <c:cat>
            <c:strRef>
              <c:f>'Comparison'!$B$31:$B$32</c:f>
              <c:strCache>
                <c:ptCount val="0"/>
              </c:strCache>
            </c:strRef>
          </c:cat>
          <c:val>
            <c:numRef>
              <c:f>'Comparison'!$C$31:$C$32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Observed unique rows</c:v>
          </c:tx>
          <c:spPr>
            <a:solidFill xmlns:a="http://schemas.openxmlformats.org/drawingml/2006/main">
              <a:srgbClr val="245942"/>
            </a:solidFill>
          </c:spPr>
          <c:invertIfNegative val="0"/>
          <c:cat>
            <c:strRef>
              <c:f>'Comparison'!$B$31:$B$32</c:f>
              <c:strCache>
                <c:ptCount val="0"/>
              </c:strCache>
            </c:strRef>
          </c:cat>
          <c:val>
            <c:numRef>
              <c:f>'Comparison'!$D$31:$D$32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33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efa2ec14e7488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bcdfb3d8e54418" /></Relationships>
</file>

<file path=xl/worksheets/sheet1.xml><?xml version="1.0" encoding="utf-8"?>
<x:worksheet xmlns:x="http://schemas.openxmlformats.org/spreadsheetml/2006/main">
  <x:sheetPr>
    <x:tabColor rgb="FF24594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26" hidden="0" customWidth="1"/>
    <x:col min="3" max="3" width="48" hidden="0" customWidth="1"/>
    <x:col min="4" max="4" width="48" hidden="0" customWidth="1"/>
    <x:col min="5" max="5" width="3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2"/>
      <x:c r="B2" s="3" t="str">
        <x:v>MCP agents and MCP Workflow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4" t="str">
        <x:v>As of October 30, 2026. App v0.16.0. Qualitative comparison, not a matched performance benchmark.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4" t="str">
        <x:v>Baseline: an agent given a saved prompt and MCP tools, without a separate saved executable workflow. Agent host features vary.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2"/>
      <x:c r="B6" s="8" t="str">
        <x:v>Dimension</x:v>
      </x:c>
      <x:c r="C6" s="8" t="str">
        <x:v>Prompt-driven MCP agent</x:v>
      </x:c>
      <x:c r="D6" s="8" t="str">
        <x:v>MCP Workflow</x:v>
      </x:c>
      <x:c r="E6" s="8" t="str">
        <x:v>Interpretation</x:v>
      </x:c>
      <x:c r="F6" s="2"/>
      <x:c r="G6" s="2"/>
      <x:c r="H6" s="2"/>
      <x:c r="I6" s="2"/>
      <x:c r="J6" s="2"/>
      <x:c r="K6" s="2"/>
    </x:row>
    <x:row r="7" ht="58" customHeight="1">
      <x:c r="A7" s="2"/>
      <x:c r="B7" s="10" t="str">
        <x:v>First task setup speed</x:v>
      </x:c>
      <x:c r="C7" s="10" t="str">
        <x:v>Prompt and start. Often fewer setup steps for a one-off task.</x:v>
      </x:c>
      <x:c r="D7" s="10" t="str">
        <x:v>Prompt the AI builder, review its draft, then save and run.</x:v>
      </x:c>
      <x:c r="E7" s="10" t="str">
        <x:v>Likely more review initially.</x:v>
      </x:c>
      <x:c r="F7" s="2"/>
      <x:c r="G7" s="2"/>
      <x:c r="H7" s="2"/>
      <x:c r="I7" s="2"/>
      <x:c r="J7" s="2"/>
      <x:c r="K7" s="2"/>
    </x:row>
    <x:row r="8" ht="58" customHeight="1">
      <x:c r="A8" s="2"/>
      <x:c r="B8" s="9" t="str">
        <x:v>Repeated run speed</x:v>
      </x:c>
      <x:c r="C8" s="9" t="str">
        <x:v>May plan again on each run. A host can cache or reuse plans.</x:v>
      </x:c>
      <x:c r="D8" s="9" t="str">
        <x:v>Saved graph reuses the plan. Native steps skip model inference.</x:v>
      </x:c>
      <x:c r="E8" s="9" t="str">
        <x:v>Expected benefit; not measured.</x:v>
      </x:c>
      <x:c r="F8" s="2"/>
      <x:c r="G8" s="2"/>
      <x:c r="H8" s="2"/>
      <x:c r="I8" s="2"/>
      <x:c r="J8" s="2"/>
      <x:c r="K8" s="2"/>
    </x:row>
    <x:row r="9" ht="58" customHeight="1">
      <x:c r="A9" s="2"/>
      <x:c r="B9" s="10" t="str">
        <x:v>AI-heavy run speed</x:v>
      </x:c>
      <x:c r="C9" s="10" t="str">
        <x:v>Depends on model, tools, context and service latency.</x:v>
      </x:c>
      <x:c r="D9" s="10" t="str">
        <x:v>AI steps still use the provider. Per-step turns add overhead.</x:v>
      </x:c>
      <x:c r="E9" s="10" t="str">
        <x:v>No inherent speed advantage.</x:v>
      </x:c>
      <x:c r="F9" s="2"/>
      <x:c r="G9" s="2"/>
      <x:c r="H9" s="2"/>
      <x:c r="I9" s="2"/>
      <x:c r="J9" s="2"/>
      <x:c r="K9" s="2"/>
    </x:row>
    <x:row r="10" ht="58" customHeight="1">
      <x:c r="A10" s="2"/>
      <x:c r="B10" s="9" t="str">
        <x:v>Output accuracy</x:v>
      </x:c>
      <x:c r="C10" s="9" t="str">
        <x:v>Depends on model, instructions, tools and validation.</x:v>
      </x:c>
      <x:c r="D10" s="9" t="str">
        <x:v>Native rules repeat configured logic; AI outputs still vary.</x:v>
      </x:c>
      <x:c r="E10" s="9" t="str">
        <x:v>No comparative accuracy rate yet.</x:v>
      </x:c>
      <x:c r="F10" s="2"/>
      <x:c r="G10" s="2"/>
      <x:c r="H10" s="2"/>
      <x:c r="I10" s="2"/>
      <x:c r="J10" s="2"/>
      <x:c r="K10" s="2"/>
    </x:row>
    <x:row r="11" ht="58" customHeight="1">
      <x:c r="A11" s="2"/>
      <x:c r="B11" s="10" t="str">
        <x:v>Accuracy when reused</x:v>
      </x:c>
      <x:c r="C11" s="10" t="str">
        <x:v>A saved prompt repeats intent; the agent may choose a different route.</x:v>
      </x:c>
      <x:c r="D11" s="10" t="str">
        <x:v>Saved steps keep routing and fields. Bad rules repeat errors too.</x:v>
      </x:c>
      <x:c r="E11" s="10" t="str">
        <x:v>Better control does not prove correctness.</x:v>
      </x:c>
      <x:c r="F11" s="2"/>
      <x:c r="G11" s="2"/>
      <x:c r="H11" s="2"/>
      <x:c r="I11" s="2"/>
      <x:c r="J11" s="2"/>
      <x:c r="K11" s="2"/>
    </x:row>
    <x:row r="12" ht="58" customHeight="1">
      <x:c r="A12" s="2"/>
      <x:c r="B12" s="9" t="str">
        <x:v>Reusability</x:v>
      </x:c>
      <x:c r="C12" s="9" t="str">
        <x:v>Reuse the prompt; save files or scripts if the host supports it.</x:v>
      </x:c>
      <x:c r="D12" s="9" t="str">
        <x:v>Named workflows, descriptions, JSON import/export and templates.</x:v>
      </x:c>
      <x:c r="E12" s="9" t="str">
        <x:v>Workflow definition is explicit.</x:v>
      </x:c>
      <x:c r="F12" s="2"/>
      <x:c r="G12" s="2"/>
      <x:c r="H12" s="2"/>
      <x:c r="I12" s="2"/>
      <x:c r="J12" s="2"/>
      <x:c r="K12" s="2"/>
    </x:row>
    <x:row r="13" ht="58" customHeight="1">
      <x:c r="A13" s="2"/>
      <x:c r="B13" s="10" t="str">
        <x:v>AI workflow builder</x:v>
      </x:c>
      <x:c r="C13" s="10" t="str">
        <x:v>Agent can propose plans or generate code in conversation.</x:v>
      </x:c>
      <x:c r="D13" s="10" t="str">
        <x:v>Build with AI creates a validated, connected draft for review.</x:v>
      </x:c>
      <x:c r="E13" s="10" t="str">
        <x:v>Draft generation, not auto-execution.</x:v>
      </x:c>
      <x:c r="F13" s="2"/>
      <x:c r="G13" s="2"/>
      <x:c r="H13" s="2"/>
      <x:c r="I13" s="2"/>
      <x:c r="J13" s="2"/>
      <x:c r="K13" s="2"/>
    </x:row>
    <x:row r="14" ht="58" customHeight="1">
      <x:c r="A14" s="2"/>
      <x:c r="B14" s="9" t="str">
        <x:v>Branches and loops</x:v>
      </x:c>
      <x:c r="C14" s="9" t="str">
        <x:v>Agent interprets instructions and chooses actions at runtime.</x:v>
      </x:c>
      <x:c r="D14" s="9" t="str">
        <x:v>Visible condition, loop and counter routes with execution limits.</x:v>
      </x:c>
      <x:c r="E14" s="9" t="str">
        <x:v>More explicit control.</x:v>
      </x:c>
      <x:c r="F14" s="2"/>
      <x:c r="G14" s="2"/>
      <x:c r="H14" s="2"/>
      <x:c r="I14" s="2"/>
      <x:c r="J14" s="2"/>
      <x:c r="K14" s="2"/>
    </x:row>
    <x:row r="15" ht="58" customHeight="1">
      <x:c r="A15" s="2"/>
      <x:c r="B15" s="10" t="str">
        <x:v>Recovery and retries</x:v>
      </x:c>
      <x:c r="C15" s="10" t="str">
        <x:v>Depends on the host and prompt. Agent may improvise recovery.</x:v>
      </x:c>
      <x:c r="D15" s="10" t="str">
        <x:v>Per-step retries, inactivity timeout and error destinations.</x:v>
      </x:c>
      <x:c r="E15" s="10" t="str">
        <x:v>Retries can repeat side effects.</x:v>
      </x:c>
      <x:c r="F15" s="2"/>
      <x:c r="G15" s="2"/>
      <x:c r="H15" s="2"/>
      <x:c r="I15" s="2"/>
      <x:c r="J15" s="2"/>
      <x:c r="K15" s="2"/>
    </x:row>
    <x:row r="16" ht="58" customHeight="1">
      <x:c r="A16" s="2"/>
      <x:c r="B16" s="9" t="str">
        <x:v>Visibility</x:v>
      </x:c>
      <x:c r="C16" s="9" t="str">
        <x:v>Conversation and tool traces depend on the host.</x:v>
      </x:c>
      <x:c r="D16" s="9" t="str">
        <x:v>Active-step glow, delay countdowns, counters and live CSV view.</x:v>
      </x:c>
      <x:c r="E16" s="9" t="str">
        <x:v>Graph shows where work is.</x:v>
      </x:c>
      <x:c r="F16" s="2"/>
      <x:c r="G16" s="2"/>
      <x:c r="H16" s="2"/>
      <x:c r="I16" s="2"/>
      <x:c r="J16" s="2"/>
      <x:c r="K16" s="2"/>
    </x:row>
    <x:row r="17" ht="58" customHeight="1">
      <x:c r="A17" s="2"/>
      <x:c r="B17" s="10" t="str">
        <x:v>Timing and run history</x:v>
      </x:c>
      <x:c r="C17" s="10" t="str">
        <x:v>Depends on host instrumentation.</x:v>
      </x:c>
      <x:c r="D17" s="10" t="str">
        <x:v>Per-step durations, average times and workflow run counts.</x:v>
      </x:c>
      <x:c r="E17" s="10" t="str">
        <x:v>Built-in local statistics.</x:v>
      </x:c>
      <x:c r="F17" s="2"/>
      <x:c r="G17" s="2"/>
      <x:c r="H17" s="2"/>
      <x:c r="I17" s="2"/>
      <x:c r="J17" s="2"/>
      <x:c r="K17" s="2"/>
    </x:row>
    <x:row r="18" ht="58" customHeight="1">
      <x:c r="A18" s="2"/>
      <x:c r="B18" s="9" t="str">
        <x:v>Flexibility on unfamiliar tasks</x:v>
      </x:c>
      <x:c r="C18" s="9" t="str">
        <x:v>Agent can change its plan as new information arrives.</x:v>
      </x:c>
      <x:c r="D18" s="9" t="str">
        <x:v>AI Instructions adapt within a step; graph changes need editing.</x:v>
      </x:c>
      <x:c r="E18" s="9" t="str">
        <x:v>Prompt approach can be more flexible.</x:v>
      </x:c>
      <x:c r="F18" s="2"/>
      <x:c r="G18" s="2"/>
      <x:c r="H18" s="2"/>
      <x:c r="I18" s="2"/>
      <x:c r="J18" s="2"/>
      <x:c r="K18" s="2"/>
    </x:row>
    <x:row r="19" ht="58" customHeight="1">
      <x:c r="A19" s="2"/>
      <x:c r="B19" s="10" t="str">
        <x:v>Sharing and portability</x:v>
      </x:c>
      <x:c r="C19" s="10" t="str">
        <x:v>Prompt text is easy to share; tools and context may differ.</x:v>
      </x:c>
      <x:c r="D19" s="10" t="str">
        <x:v>JSON shares the graph; uploads, secrets and history stay local.</x:v>
      </x:c>
      <x:c r="E19" s="10" t="str">
        <x:v>Both need matching environment.</x:v>
      </x:c>
      <x:c r="F19" s="2"/>
      <x:c r="G19" s="2"/>
      <x:c r="H19" s="2"/>
      <x:c r="I19" s="2"/>
      <x:c r="J19" s="2"/>
      <x:c r="K19" s="2"/>
    </x:row>
    <x:row r="20" ht="58" customHeight="1">
      <x:c r="A20" s="2"/>
      <x:c r="B20" s="9" t="str">
        <x:v>Cost and AI usage</x:v>
      </x:c>
      <x:c r="C20" s="9" t="str">
        <x:v>Depends on inference calls, tools and subscription/API billing.</x:v>
      </x:c>
      <x:c r="D20" s="9" t="str">
        <x:v>Native steps use no model inference; builder and AI steps do.</x:v>
      </x:c>
      <x:c r="E20" s="9" t="str">
        <x:v>No measured cost saving yet.</x:v>
      </x:c>
      <x:c r="F20" s="2"/>
      <x:c r="G20" s="2"/>
      <x:c r="H20" s="2"/>
      <x:c r="I20" s="2"/>
      <x:c r="J20" s="2"/>
      <x:c r="K20" s="2"/>
    </x:row>
    <x:row r="21" ht="58" customHeight="1">
      <x:c r="A21" s="2"/>
      <x:c r="B21" s="10" t="str">
        <x:v>Maintenance</x:v>
      </x:c>
      <x:c r="C21" s="10" t="str">
        <x:v>Update the prompt or any generated scripts as inputs change.</x:v>
      </x:c>
      <x:c r="D21" s="10" t="str">
        <x:v>Update selectors, endpoints, step rules and provider settings.</x:v>
      </x:c>
      <x:c r="E21" s="10" t="str">
        <x:v>Both require upkeep.</x:v>
      </x:c>
      <x:c r="F21" s="2"/>
      <x:c r="G21" s="2"/>
      <x:c r="H21" s="2"/>
      <x:c r="I21" s="2"/>
      <x:c r="J21" s="2"/>
      <x:c r="K21" s="2"/>
    </x:row>
    <x:row r="22" ht="58" customHeight="1">
      <x:c r="A22" s="2"/>
      <x:c r="B22" s="9" t="str">
        <x:v>Scheduling and restart</x:v>
      </x:c>
      <x:c r="C22" s="9" t="str">
        <x:v>Some agent hosts support schedules or durable execution.</x:v>
      </x:c>
      <x:c r="D22" s="9" t="str">
        <x:v>Manual runs only. Delays do not resume after app shutdown.</x:v>
      </x:c>
      <x:c r="E22" s="9" t="str">
        <x:v>Current app limitation.</x:v>
      </x:c>
      <x:c r="F22" s="2"/>
      <x:c r="G22" s="2"/>
      <x:c r="H22" s="2"/>
      <x:c r="I22" s="2"/>
      <x:c r="J22" s="2"/>
      <x:c r="K22" s="2"/>
    </x:row>
    <x:row r="23" ht="58" customHeight="1">
      <x:c r="A23" s="2"/>
      <x:c r="B23" s="10" t="str">
        <x:v>Best fit</x:v>
      </x:c>
      <x:c r="C23" s="10" t="str">
        <x:v>Exploration, one-off tasks and changing requirements.</x:v>
      </x:c>
      <x:c r="D23" s="10" t="str">
        <x:v>Recurring tasks with known inputs, routes and outputs.</x:v>
      </x:c>
      <x:c r="E23" s="10" t="str">
        <x:v>Choose by task, not an overall score.</x:v>
      </x:c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11" t="str">
        <x:v>What the existing demo actually shows</x:v>
      </x:c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 t="str">
        <x:v>Two fictional bundled pages. Five unique products. The observed CSV grew from 3 to 5 rows. No live Amazon traffic.</x:v>
      </x:c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 t="str">
        <x:v>No prompt-agent baseline or controlled timing sample was collected. Video duration is not workflow execution time.</x:v>
      </x:c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0" customHeight="1">
      <x:c r="A30" s="2"/>
      <x:c r="B30" s="8" t="str">
        <x:v>Collection stage</x:v>
      </x:c>
      <x:c r="C30" s="8" t="str">
        <x:v>Expected unique rows</x:v>
      </x:c>
      <x:c r="D30" s="8" t="str">
        <x:v>Observed unique rows</x:v>
      </x:c>
      <x:c r="E30" s="2"/>
      <x:c r="F30" s="2"/>
      <x:c r="G30" s="2"/>
      <x:c r="H30" s="2"/>
      <x:c r="I30" s="2"/>
      <x:c r="J30" s="2"/>
      <x:c r="K30" s="2"/>
    </x:row>
    <x:row r="31" ht="26" customHeight="1">
      <x:c r="A31" s="2"/>
      <x:c r="B31" s="2" t="str">
        <x:v>After page 1</x:v>
      </x:c>
      <x:c r="C31" s="2" t="n">
        <x:v>3</x:v>
      </x:c>
      <x:c r="D31" s="2" t="n">
        <x:v>3</x:v>
      </x:c>
      <x:c r="E31" s="2"/>
      <x:c r="F31" s="2"/>
      <x:c r="G31" s="2"/>
      <x:c r="H31" s="2"/>
      <x:c r="I31" s="2"/>
      <x:c r="J31" s="2"/>
      <x:c r="K31" s="2"/>
    </x:row>
    <x:row r="32" ht="26" customHeight="1">
      <x:c r="A32" s="2"/>
      <x:c r="B32" s="2" t="str">
        <x:v>After page 2</x:v>
      </x:c>
      <x:c r="C32" s="2" t="n">
        <x:v>5</x:v>
      </x:c>
      <x:c r="D32" s="2" t="n">
        <x:v>5</x:v>
      </x:c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12" t="str">
        <x:v>Sources and scope</x:v>
      </x:c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46" customHeight="1">
      <x:c r="A50" s="2"/>
      <x:c r="B50" s="9" t="str">
        <x:v>App features</x:v>
      </x:c>
      <x:c r="C50" s="9" t="str">
        <x:v>README and implementation at v0.16.0</x:v>
      </x:c>
      <x:c r="D50" s="9" t="str">
        <x:v>https://github.com/hacksider/MCP-Workflow</x:v>
      </x:c>
      <x:c r="E50" s="9"/>
      <x:c r="F50" s="2"/>
      <x:c r="G50" s="2"/>
      <x:c r="H50" s="2"/>
      <x:c r="I50" s="2"/>
      <x:c r="J50" s="2"/>
      <x:c r="K50" s="2"/>
    </x:row>
    <x:row r="51" ht="46" customHeight="1">
      <x:c r="A51" s="2"/>
      <x:c r="B51" s="9" t="str">
        <x:v>Observed demo</x:v>
      </x:c>
      <x:c r="C51" s="9" t="str">
        <x:v>docs/demo/README.md and products.csv</x:v>
      </x:c>
      <x:c r="D51" s="9" t="str">
        <x:v>https://github.com/hacksider/MCP-Workflow/tree/main/docs/demo</x:v>
      </x:c>
      <x:c r="E51" s="9"/>
      <x:c r="F51" s="2"/>
      <x:c r="G51" s="2"/>
      <x:c r="H51" s="2"/>
      <x:c r="I51" s="2"/>
      <x:c r="J51" s="2"/>
      <x:c r="K51" s="2"/>
    </x:row>
    <x:row r="52" ht="46" customHeight="1">
      <x:c r="A52" s="2"/>
      <x:c r="B52" s="9" t="str">
        <x:v>MCP definition</x:v>
      </x:c>
      <x:c r="C52" s="9" t="str">
        <x:v>MCP is a tool/context protocol. Agent-host behavior is not universal.</x:v>
      </x:c>
      <x:c r="D52" s="9" t="str">
        <x:v>https://github.com/modelcontextprotocol/modelcontextprotocol/blob/main/docs/specification/2025-11-25/architecture/index.mdx</x:v>
      </x:c>
      <x:c r="E52" s="9"/>
      <x:c r="F52" s="2"/>
      <x:c r="G52" s="2"/>
      <x:c r="H52" s="2"/>
      <x:c r="I52" s="2"/>
      <x:c r="J52" s="2"/>
      <x:c r="K52" s="2"/>
    </x:row>
    <x:row r="53" ht="46" customHeight="1">
      <x:c r="A53" s="2"/>
      <x:c r="B53" s="9" t="str">
        <x:v>Interpretation</x:v>
      </x:c>
      <x:c r="C53" s="9" t="str">
        <x:v>Speed expectations above are engineering judgments, not benchmark results.</x:v>
      </x:c>
      <x:c r="D53" s="9" t="str">
        <x:v>Use the Benchmark sheet for matched measurements.</x:v>
      </x:c>
      <x:c r="E53" s="9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</x:sheetData>
  <x:pageMargins left="0.7" right="0.7" top="0.75" bottom="0.75" header="0.3" footer="0.3"/>
  <x:drawing xmlns:r="http://schemas.openxmlformats.org/officeDocument/2006/relationships" r:id="Rc6bcdfb3d8e54418"/>
</x:worksheet>
</file>

<file path=xl/worksheets/sheet2.xml><?xml version="1.0" encoding="utf-8"?>
<x:worksheet xmlns:x="http://schemas.openxmlformats.org/spreadsheetml/2006/main">
  <x:sheetPr>
    <x:tabColor rgb="FF245942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3" hidden="0" customWidth="1"/>
    <x:col min="2" max="2" width="2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2"/>
      <x:c r="B2" s="3" t="str">
        <x:v>Matched benchmark worksheet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 t="str">
        <x:v>No results entered. Yellow cells are measurement inputs. Blank is unknown, not zero.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2"/>
      <x:c r="B5" s="8" t="str">
        <x:v>Metric</x:v>
      </x:c>
      <x:c r="C5" s="8" t="str">
        <x:v>Prompt agent</x:v>
      </x:c>
      <x:c r="D5" s="8" t="str">
        <x:v>Workflow</x:v>
      </x:c>
      <x:c r="E5" s="2"/>
      <x:c r="F5" s="2" t="str">
        <x:v>Measured speedup</x:v>
      </x:c>
      <x:c r="G5" s="15" t="str">
        <x:f>IF(OR(C6="",D6="",D6=0),"",C6/D6)</x:f>
      </x:c>
      <x:c r="H5" s="2"/>
      <x:c r="I5" s="2"/>
      <x:c r="J5" s="2"/>
      <x:c r="K5" s="2"/>
    </x:row>
    <x:row r="6">
      <x:c r="A6" s="2"/>
      <x:c r="B6" s="2" t="str">
        <x:v>Average elapsed time (s)</x:v>
      </x:c>
      <x:c r="C6" s="13" t="str">
        <x:f>IF(COUNTIFS($B$15:$B$34,C$5,$D$15:$D$34,"&lt;&gt;",$D$15:$D$34,"&gt;=0")=0,"",SUMIFS($D$15:$D$34,$B$15:$B$34,C$5)/COUNTIFS($B$15:$B$34,C$5,$D$15:$D$34,"&lt;&gt;",$D$15:$D$34,"&gt;=0"))</x:f>
      </x:c>
      <x:c r="D6" s="13" t="str">
        <x:f>IF(COUNTIFS($B$15:$B$34,D$5,$D$15:$D$34,"&lt;&gt;",$D$15:$D$34,"&gt;=0")=0,"",SUMIFS($D$15:$D$34,$B$15:$B$34,D$5)/COUNTIFS($B$15:$B$34,D$5,$D$15:$D$34,"&lt;&gt;",$D$15:$D$34,"&gt;=0"))</x:f>
      </x:c>
      <x:c r="E6" s="2"/>
      <x:c r="F6" s="2"/>
      <x:c r="G6" s="2"/>
      <x:c r="H6" s="2"/>
      <x:c r="I6" s="2"/>
      <x:c r="J6" s="2"/>
      <x:c r="K6" s="2"/>
    </x:row>
    <x:row r="7">
      <x:c r="A7" s="2"/>
      <x:c r="B7" s="2" t="str">
        <x:v>Field accuracy</x:v>
      </x:c>
      <x:c r="C7" s="14" t="str">
        <x:f>IF(SUMIFS($F$15:$F$34,$B$15:$B$34,C$5)=0,"",SUMIFS($E$15:$E$34,$B$15:$B$34,C$5)/SUMIFS($F$15:$F$34,$B$15:$B$34,C$5))</x:f>
      </x:c>
      <x:c r="D7" s="14" t="str">
        <x:f>IF(SUMIFS($F$15:$F$34,$B$15:$B$34,D$5)=0,"",SUMIFS($E$15:$E$34,$B$15:$B$34,D$5)/SUMIFS($F$15:$F$34,$B$15:$B$34,D$5))</x:f>
      </x:c>
      <x:c r="E7" s="2"/>
      <x:c r="F7" s="2" t="str">
        <x:v>Accuracy delta (pp)</x:v>
      </x:c>
      <x:c r="G7" s="13" t="str">
        <x:f>IF(OR(C7="",D7=""),"",(D7-C7)*100)</x:f>
      </x:c>
      <x:c r="H7" s="2"/>
      <x:c r="I7" s="2"/>
      <x:c r="J7" s="2"/>
      <x:c r="K7" s="2"/>
    </x:row>
    <x:row r="8">
      <x:c r="A8" s="2"/>
      <x:c r="B8" s="2" t="str">
        <x:v>Successful run rate</x:v>
      </x:c>
      <x:c r="C8" s="14" t="str">
        <x:f>IF(COUNTIFS($B$15:$B$34,C$5,$G$15:$G$34,"&lt;&gt;",$G$15:$G$34,"&gt;=0")=0,"",SUMIFS($G$15:$G$34,$B$15:$B$34,C$5)/COUNTIFS($B$15:$B$34,C$5,$G$15:$G$34,"&lt;&gt;",$G$15:$G$34,"&gt;=0"))</x:f>
      </x:c>
      <x:c r="D8" s="14" t="str">
        <x:f>IF(COUNTIFS($B$15:$B$34,D$5,$G$15:$G$34,"&lt;&gt;",$G$15:$G$34,"&gt;=0")=0,"",SUMIFS($G$15:$G$34,$B$15:$B$34,D$5)/COUNTIFS($B$15:$B$34,D$5,$G$15:$G$34,"&lt;&gt;",$G$15:$G$34,"&gt;=0"))</x:f>
      </x:c>
      <x:c r="E8" s="2"/>
      <x:c r="F8" s="2"/>
      <x:c r="G8" s="2"/>
      <x:c r="H8" s="2"/>
      <x:c r="I8" s="2"/>
      <x:c r="J8" s="2"/>
      <x:c r="K8" s="2"/>
    </x:row>
    <x:row r="9">
      <x:c r="A9" s="2"/>
      <x:c r="B9" s="2" t="str">
        <x:v>Average human fixes</x:v>
      </x:c>
      <x:c r="C9" s="13" t="str">
        <x:f>IF(COUNTIFS($B$15:$B$34,C$5,$H$15:$H$34,"&lt;&gt;",$H$15:$H$34,"&gt;=0")=0,"",SUMIFS($H$15:$H$34,$B$15:$B$34,C$5)/COUNTIFS($B$15:$B$34,C$5,$H$15:$H$34,"&lt;&gt;",$H$15:$H$34,"&gt;=0"))</x:f>
      </x:c>
      <x:c r="D9" s="13" t="str">
        <x:f>IF(COUNTIFS($B$15:$B$34,D$5,$H$15:$H$34,"&lt;&gt;",$H$15:$H$34,"&gt;=0")=0,"",SUMIFS($H$15:$H$34,$B$15:$B$34,D$5)/COUNTIFS($B$15:$B$34,D$5,$H$15:$H$34,"&lt;&gt;",$H$15:$H$34,"&gt;=0"))</x:f>
      </x:c>
      <x:c r="E9" s="2"/>
      <x:c r="F9" s="2"/>
      <x:c r="G9" s="2"/>
      <x:c r="H9" s="2"/>
      <x:c r="I9" s="2"/>
      <x:c r="J9" s="2"/>
      <x:c r="K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/>
      <x:c r="B11" s="2" t="str">
        <x:v>Use the same model/version, tools, frozen inputs, expected fields, timeout and task. Alternate methods across 10 paired runs.</x:v>
      </x:c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 t="str">
        <x:v>Measure setup separately. Time start-to-validated-file, including waits/retries. Keep failed runs and mark success 0.</x:v>
      </x:c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0" customHeight="1">
      <x:c r="A14" s="2"/>
      <x:c r="B14" s="8" t="str">
        <x:v>Method</x:v>
      </x:c>
      <x:c r="C14" s="8" t="str">
        <x:v>Pair</x:v>
      </x:c>
      <x:c r="D14" s="8" t="str">
        <x:v>Elapsed (s)</x:v>
      </x:c>
      <x:c r="E14" s="8" t="str">
        <x:v>Correct fields</x:v>
      </x:c>
      <x:c r="F14" s="8" t="str">
        <x:v>Expected fields</x:v>
      </x:c>
      <x:c r="G14" s="8" t="str">
        <x:v>Success (1/0)</x:v>
      </x:c>
      <x:c r="H14" s="8" t="str">
        <x:v>Human fixes</x:v>
      </x:c>
      <x:c r="I14" s="8" t="str">
        <x:v>Tokens (optional)</x:v>
      </x:c>
      <x:c r="J14" s="2"/>
      <x:c r="K14" s="2"/>
    </x:row>
    <x:row r="15" ht="25" customHeight="1">
      <x:c r="A15" s="2"/>
      <x:c r="B15" s="2" t="str">
        <x:v>Prompt agent</x:v>
      </x:c>
      <x:c r="C15" s="2" t="n">
        <x:v>1</x:v>
      </x:c>
      <x:c r="D15" s="17"/>
      <x:c r="E15" s="18"/>
      <x:c r="F15" s="18"/>
      <x:c r="G15" s="18"/>
      <x:c r="H15" s="18"/>
      <x:c r="I15" s="18"/>
      <x:c r="J15" s="2"/>
      <x:c r="K15" s="2"/>
    </x:row>
    <x:row r="16" ht="25" customHeight="1">
      <x:c r="A16" s="2"/>
      <x:c r="B16" s="2" t="str">
        <x:v>Workflow</x:v>
      </x:c>
      <x:c r="C16" s="2" t="n">
        <x:v>1</x:v>
      </x:c>
      <x:c r="D16" s="17"/>
      <x:c r="E16" s="18"/>
      <x:c r="F16" s="18"/>
      <x:c r="G16" s="18"/>
      <x:c r="H16" s="18"/>
      <x:c r="I16" s="18"/>
      <x:c r="J16" s="2"/>
      <x:c r="K16" s="2"/>
    </x:row>
    <x:row r="17" ht="25" customHeight="1">
      <x:c r="A17" s="2"/>
      <x:c r="B17" s="2" t="str">
        <x:v>Prompt agent</x:v>
      </x:c>
      <x:c r="C17" s="2" t="n">
        <x:v>2</x:v>
      </x:c>
      <x:c r="D17" s="17"/>
      <x:c r="E17" s="18"/>
      <x:c r="F17" s="18"/>
      <x:c r="G17" s="18"/>
      <x:c r="H17" s="18"/>
      <x:c r="I17" s="18"/>
      <x:c r="J17" s="2"/>
      <x:c r="K17" s="2"/>
    </x:row>
    <x:row r="18" ht="25" customHeight="1">
      <x:c r="A18" s="2"/>
      <x:c r="B18" s="2" t="str">
        <x:v>Workflow</x:v>
      </x:c>
      <x:c r="C18" s="2" t="n">
        <x:v>2</x:v>
      </x:c>
      <x:c r="D18" s="17"/>
      <x:c r="E18" s="18"/>
      <x:c r="F18" s="18"/>
      <x:c r="G18" s="18"/>
      <x:c r="H18" s="18"/>
      <x:c r="I18" s="18"/>
      <x:c r="J18" s="2"/>
      <x:c r="K18" s="2"/>
    </x:row>
    <x:row r="19" ht="25" customHeight="1">
      <x:c r="A19" s="2"/>
      <x:c r="B19" s="2" t="str">
        <x:v>Prompt agent</x:v>
      </x:c>
      <x:c r="C19" s="2" t="n">
        <x:v>3</x:v>
      </x:c>
      <x:c r="D19" s="17"/>
      <x:c r="E19" s="18"/>
      <x:c r="F19" s="18"/>
      <x:c r="G19" s="18"/>
      <x:c r="H19" s="18"/>
      <x:c r="I19" s="18"/>
      <x:c r="J19" s="2"/>
      <x:c r="K19" s="2"/>
    </x:row>
    <x:row r="20" ht="25" customHeight="1">
      <x:c r="A20" s="2"/>
      <x:c r="B20" s="2" t="str">
        <x:v>Workflow</x:v>
      </x:c>
      <x:c r="C20" s="2" t="n">
        <x:v>3</x:v>
      </x:c>
      <x:c r="D20" s="17"/>
      <x:c r="E20" s="18"/>
      <x:c r="F20" s="18"/>
      <x:c r="G20" s="18"/>
      <x:c r="H20" s="18"/>
      <x:c r="I20" s="18"/>
      <x:c r="J20" s="2"/>
      <x:c r="K20" s="2"/>
    </x:row>
    <x:row r="21" ht="25" customHeight="1">
      <x:c r="A21" s="2"/>
      <x:c r="B21" s="2" t="str">
        <x:v>Prompt agent</x:v>
      </x:c>
      <x:c r="C21" s="2" t="n">
        <x:v>4</x:v>
      </x:c>
      <x:c r="D21" s="17"/>
      <x:c r="E21" s="18"/>
      <x:c r="F21" s="18"/>
      <x:c r="G21" s="18"/>
      <x:c r="H21" s="18"/>
      <x:c r="I21" s="18"/>
      <x:c r="J21" s="2"/>
      <x:c r="K21" s="2"/>
    </x:row>
    <x:row r="22" ht="25" customHeight="1">
      <x:c r="A22" s="2"/>
      <x:c r="B22" s="2" t="str">
        <x:v>Workflow</x:v>
      </x:c>
      <x:c r="C22" s="2" t="n">
        <x:v>4</x:v>
      </x:c>
      <x:c r="D22" s="17"/>
      <x:c r="E22" s="18"/>
      <x:c r="F22" s="18"/>
      <x:c r="G22" s="18"/>
      <x:c r="H22" s="18"/>
      <x:c r="I22" s="18"/>
      <x:c r="J22" s="2"/>
      <x:c r="K22" s="2"/>
    </x:row>
    <x:row r="23" ht="25" customHeight="1">
      <x:c r="A23" s="2"/>
      <x:c r="B23" s="2" t="str">
        <x:v>Prompt agent</x:v>
      </x:c>
      <x:c r="C23" s="2" t="n">
        <x:v>5</x:v>
      </x:c>
      <x:c r="D23" s="17"/>
      <x:c r="E23" s="18"/>
      <x:c r="F23" s="18"/>
      <x:c r="G23" s="18"/>
      <x:c r="H23" s="18"/>
      <x:c r="I23" s="18"/>
      <x:c r="J23" s="2"/>
      <x:c r="K23" s="2"/>
    </x:row>
    <x:row r="24" ht="25" customHeight="1">
      <x:c r="A24" s="2"/>
      <x:c r="B24" s="2" t="str">
        <x:v>Workflow</x:v>
      </x:c>
      <x:c r="C24" s="2" t="n">
        <x:v>5</x:v>
      </x:c>
      <x:c r="D24" s="17"/>
      <x:c r="E24" s="18"/>
      <x:c r="F24" s="18"/>
      <x:c r="G24" s="18"/>
      <x:c r="H24" s="18"/>
      <x:c r="I24" s="18"/>
      <x:c r="J24" s="2"/>
      <x:c r="K24" s="2"/>
    </x:row>
    <x:row r="25" ht="25" customHeight="1">
      <x:c r="A25" s="2"/>
      <x:c r="B25" s="2" t="str">
        <x:v>Prompt agent</x:v>
      </x:c>
      <x:c r="C25" s="2" t="n">
        <x:v>6</x:v>
      </x:c>
      <x:c r="D25" s="17"/>
      <x:c r="E25" s="18"/>
      <x:c r="F25" s="18"/>
      <x:c r="G25" s="18"/>
      <x:c r="H25" s="18"/>
      <x:c r="I25" s="18"/>
      <x:c r="J25" s="2"/>
      <x:c r="K25" s="2"/>
    </x:row>
    <x:row r="26" ht="25" customHeight="1">
      <x:c r="A26" s="2"/>
      <x:c r="B26" s="2" t="str">
        <x:v>Workflow</x:v>
      </x:c>
      <x:c r="C26" s="2" t="n">
        <x:v>6</x:v>
      </x:c>
      <x:c r="D26" s="17"/>
      <x:c r="E26" s="18"/>
      <x:c r="F26" s="18"/>
      <x:c r="G26" s="18"/>
      <x:c r="H26" s="18"/>
      <x:c r="I26" s="18"/>
      <x:c r="J26" s="2"/>
      <x:c r="K26" s="2"/>
    </x:row>
    <x:row r="27" ht="25" customHeight="1">
      <x:c r="A27" s="2"/>
      <x:c r="B27" s="2" t="str">
        <x:v>Prompt agent</x:v>
      </x:c>
      <x:c r="C27" s="2" t="n">
        <x:v>7</x:v>
      </x:c>
      <x:c r="D27" s="17"/>
      <x:c r="E27" s="18"/>
      <x:c r="F27" s="18"/>
      <x:c r="G27" s="18"/>
      <x:c r="H27" s="18"/>
      <x:c r="I27" s="18"/>
      <x:c r="J27" s="2"/>
      <x:c r="K27" s="2"/>
    </x:row>
    <x:row r="28" ht="25" customHeight="1">
      <x:c r="A28" s="2"/>
      <x:c r="B28" s="2" t="str">
        <x:v>Workflow</x:v>
      </x:c>
      <x:c r="C28" s="2" t="n">
        <x:v>7</x:v>
      </x:c>
      <x:c r="D28" s="17"/>
      <x:c r="E28" s="18"/>
      <x:c r="F28" s="18"/>
      <x:c r="G28" s="18"/>
      <x:c r="H28" s="18"/>
      <x:c r="I28" s="18"/>
      <x:c r="J28" s="2"/>
      <x:c r="K28" s="2"/>
    </x:row>
    <x:row r="29" ht="25" customHeight="1">
      <x:c r="A29" s="2"/>
      <x:c r="B29" s="2" t="str">
        <x:v>Prompt agent</x:v>
      </x:c>
      <x:c r="C29" s="2" t="n">
        <x:v>8</x:v>
      </x:c>
      <x:c r="D29" s="17"/>
      <x:c r="E29" s="18"/>
      <x:c r="F29" s="18"/>
      <x:c r="G29" s="18"/>
      <x:c r="H29" s="18"/>
      <x:c r="I29" s="18"/>
      <x:c r="J29" s="2"/>
      <x:c r="K29" s="2"/>
    </x:row>
    <x:row r="30" ht="25" customHeight="1">
      <x:c r="A30" s="2"/>
      <x:c r="B30" s="2" t="str">
        <x:v>Workflow</x:v>
      </x:c>
      <x:c r="C30" s="2" t="n">
        <x:v>8</x:v>
      </x:c>
      <x:c r="D30" s="17"/>
      <x:c r="E30" s="18"/>
      <x:c r="F30" s="18"/>
      <x:c r="G30" s="18"/>
      <x:c r="H30" s="18"/>
      <x:c r="I30" s="18"/>
      <x:c r="J30" s="2"/>
      <x:c r="K30" s="2"/>
    </x:row>
    <x:row r="31" ht="25" customHeight="1">
      <x:c r="A31" s="2"/>
      <x:c r="B31" s="2" t="str">
        <x:v>Prompt agent</x:v>
      </x:c>
      <x:c r="C31" s="2" t="n">
        <x:v>9</x:v>
      </x:c>
      <x:c r="D31" s="17"/>
      <x:c r="E31" s="18"/>
      <x:c r="F31" s="18"/>
      <x:c r="G31" s="18"/>
      <x:c r="H31" s="18"/>
      <x:c r="I31" s="18"/>
      <x:c r="J31" s="2"/>
      <x:c r="K31" s="2"/>
    </x:row>
    <x:row r="32" ht="25" customHeight="1">
      <x:c r="A32" s="2"/>
      <x:c r="B32" s="2" t="str">
        <x:v>Workflow</x:v>
      </x:c>
      <x:c r="C32" s="2" t="n">
        <x:v>9</x:v>
      </x:c>
      <x:c r="D32" s="17"/>
      <x:c r="E32" s="18"/>
      <x:c r="F32" s="18"/>
      <x:c r="G32" s="18"/>
      <x:c r="H32" s="18"/>
      <x:c r="I32" s="18"/>
      <x:c r="J32" s="2"/>
      <x:c r="K32" s="2"/>
    </x:row>
    <x:row r="33" ht="25" customHeight="1">
      <x:c r="A33" s="2"/>
      <x:c r="B33" s="2" t="str">
        <x:v>Prompt agent</x:v>
      </x:c>
      <x:c r="C33" s="2" t="n">
        <x:v>10</x:v>
      </x:c>
      <x:c r="D33" s="17"/>
      <x:c r="E33" s="18"/>
      <x:c r="F33" s="18"/>
      <x:c r="G33" s="18"/>
      <x:c r="H33" s="18"/>
      <x:c r="I33" s="18"/>
      <x:c r="J33" s="2"/>
      <x:c r="K33" s="2"/>
    </x:row>
    <x:row r="34" ht="25" customHeight="1">
      <x:c r="A34" s="2"/>
      <x:c r="B34" s="2" t="str">
        <x:v>Workflow</x:v>
      </x:c>
      <x:c r="C34" s="2" t="n">
        <x:v>10</x:v>
      </x:c>
      <x:c r="D34" s="17"/>
      <x:c r="E34" s="18"/>
      <x:c r="F34" s="18"/>
      <x:c r="G34" s="18"/>
      <x:c r="H34" s="18"/>
      <x:c r="I34" s="18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 t="str">
        <x:v>Field accuracy = correct expected fields / total expected fields. Missing or wrong values are incorrect. Extra rows also fail task success.</x:v>
      </x:c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 t="str">
        <x:v>For the scraper, freeze ASIN, title, price and URL for all five unique rows: 20 expected fields per run.</x:v>
      </x:c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 t="str">
        <x:v>Success requires the exact expected row set, valid values, the requested file and completion before the shared timeout.</x:v>
      </x:c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 t="str">
        <x:v>Speedup = prompt-agent mean time / workflow mean time. Values above 1 favor the workflow. Accuracy difference is workflow minus agent.</x:v>
      </x:c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 t="str">
        <x:v>Enter paired measurements for both methods before using results. Do not compare native scraping with unrelated AI-heavy tasks.</x:v>
      </x:c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</x:sheetData>
  <x:dataValidations count="1">
    <x:dataValidation type="list" sqref="G15:G34">
      <x:formula1>"0,1"</x:formula1>
    </x:dataValidation>
  </x:dataValidations>
  <x:pageMargins left="0.7" right="0.7" top="0.75" bottom="0.75" header="0.3" footer="0.3"/>
</x:worksheet>
</file>